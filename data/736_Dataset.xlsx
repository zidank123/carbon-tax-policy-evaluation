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wnloads\"/>
    </mc:Choice>
  </mc:AlternateContent>
  <bookViews>
    <workbookView xWindow="0" yWindow="0" windowWidth="19368" windowHeight="9192"/>
  </bookViews>
  <sheets>
    <sheet name="Sheet1" sheetId="1" r:id="rId1"/>
  </sheets>
  <externalReferences>
    <externalReference r:id="rId2"/>
    <externalReference r:id="rId3"/>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 l="1"/>
  <c r="E8" i="1" l="1"/>
  <c r="G8" i="1" s="1"/>
  <c r="E9" i="1"/>
  <c r="E10" i="1"/>
  <c r="E11" i="1"/>
  <c r="E12" i="1"/>
  <c r="E13" i="1"/>
  <c r="G13" i="1" s="1"/>
  <c r="E14" i="1"/>
  <c r="E15" i="1"/>
  <c r="E16" i="1"/>
  <c r="E17" i="1"/>
  <c r="E18" i="1"/>
  <c r="E19" i="1"/>
  <c r="E20" i="1"/>
  <c r="E21" i="1"/>
  <c r="E22" i="1"/>
  <c r="E23" i="1"/>
  <c r="E24" i="1"/>
  <c r="E25" i="1"/>
  <c r="E26" i="1"/>
  <c r="E27" i="1"/>
  <c r="E28" i="1"/>
  <c r="E29" i="1"/>
  <c r="G29" i="1" s="1"/>
  <c r="E30" i="1"/>
  <c r="E31" i="1"/>
  <c r="E32" i="1"/>
  <c r="E33" i="1"/>
  <c r="E34" i="1"/>
  <c r="E35" i="1"/>
  <c r="E36" i="1"/>
  <c r="E37" i="1"/>
  <c r="G37" i="1" s="1"/>
  <c r="E38" i="1"/>
  <c r="E39" i="1"/>
  <c r="E40" i="1"/>
  <c r="E41" i="1"/>
  <c r="E42" i="1"/>
  <c r="E43" i="1"/>
  <c r="E44" i="1"/>
  <c r="E45" i="1"/>
  <c r="G45" i="1" s="1"/>
  <c r="E46" i="1"/>
  <c r="E47" i="1"/>
  <c r="E48" i="1"/>
  <c r="E49" i="1"/>
  <c r="E50" i="1"/>
  <c r="E51" i="1"/>
  <c r="E52" i="1"/>
  <c r="E53" i="1"/>
  <c r="G53" i="1" s="1"/>
  <c r="E54" i="1"/>
  <c r="E55" i="1"/>
  <c r="E56" i="1"/>
  <c r="E57" i="1"/>
  <c r="E58" i="1"/>
  <c r="E59" i="1"/>
  <c r="E60" i="1"/>
  <c r="E61" i="1"/>
  <c r="E62" i="1"/>
  <c r="E63" i="1"/>
  <c r="E64" i="1"/>
  <c r="E65" i="1"/>
  <c r="E66" i="1"/>
  <c r="E67" i="1"/>
  <c r="E68" i="1"/>
  <c r="E69" i="1"/>
  <c r="G69" i="1" s="1"/>
  <c r="E70" i="1"/>
  <c r="E71" i="1"/>
  <c r="E72" i="1"/>
  <c r="E73" i="1"/>
  <c r="E74" i="1"/>
  <c r="E75" i="1"/>
  <c r="E76" i="1"/>
  <c r="E77" i="1"/>
  <c r="G77" i="1" s="1"/>
  <c r="E78" i="1"/>
  <c r="E79" i="1"/>
  <c r="E80" i="1"/>
  <c r="E81" i="1"/>
  <c r="E82" i="1"/>
  <c r="E83" i="1"/>
  <c r="E84" i="1"/>
  <c r="E85" i="1"/>
  <c r="G85" i="1" s="1"/>
  <c r="E86" i="1"/>
  <c r="E87" i="1"/>
  <c r="E88" i="1"/>
  <c r="E89" i="1"/>
  <c r="E90" i="1"/>
  <c r="E91" i="1"/>
  <c r="E92" i="1"/>
  <c r="E93" i="1"/>
  <c r="G93" i="1" s="1"/>
  <c r="E94" i="1"/>
  <c r="E95" i="1"/>
  <c r="E96" i="1"/>
  <c r="E97" i="1"/>
  <c r="E98" i="1"/>
  <c r="E99" i="1"/>
  <c r="E100" i="1"/>
  <c r="E101" i="1"/>
  <c r="G101" i="1" s="1"/>
  <c r="E102" i="1"/>
  <c r="E103" i="1"/>
  <c r="E104" i="1"/>
  <c r="E105" i="1"/>
  <c r="E106" i="1"/>
  <c r="E107" i="1"/>
  <c r="E108" i="1"/>
  <c r="E109" i="1"/>
  <c r="E110" i="1"/>
  <c r="E111" i="1"/>
  <c r="E112" i="1"/>
  <c r="E113" i="1"/>
  <c r="E114" i="1"/>
  <c r="E115" i="1"/>
  <c r="E116" i="1"/>
  <c r="E117" i="1"/>
  <c r="G117" i="1" s="1"/>
  <c r="E118" i="1"/>
  <c r="E119" i="1"/>
  <c r="E120" i="1"/>
  <c r="E121" i="1"/>
  <c r="E122" i="1"/>
  <c r="E123" i="1"/>
  <c r="E124" i="1"/>
  <c r="E125" i="1"/>
  <c r="G125" i="1" s="1"/>
  <c r="E126" i="1"/>
  <c r="E127" i="1"/>
  <c r="E128" i="1"/>
  <c r="E129" i="1"/>
  <c r="E130" i="1"/>
  <c r="E131" i="1"/>
  <c r="E132" i="1"/>
  <c r="E133" i="1"/>
  <c r="G133" i="1" s="1"/>
  <c r="E134" i="1"/>
  <c r="E135" i="1"/>
  <c r="E136" i="1"/>
  <c r="G136" i="1" s="1"/>
  <c r="E137" i="1"/>
  <c r="E138" i="1"/>
  <c r="E139" i="1"/>
  <c r="E140" i="1"/>
  <c r="E141" i="1"/>
  <c r="G141" i="1" s="1"/>
  <c r="E142" i="1"/>
  <c r="E143" i="1"/>
  <c r="E144" i="1"/>
  <c r="E145" i="1"/>
  <c r="E146" i="1"/>
  <c r="E147" i="1"/>
  <c r="E148" i="1"/>
  <c r="E149" i="1"/>
  <c r="G149" i="1" s="1"/>
  <c r="E150" i="1"/>
  <c r="E151" i="1"/>
  <c r="E152" i="1"/>
  <c r="E153" i="1"/>
  <c r="E154" i="1"/>
  <c r="E155" i="1"/>
  <c r="E156" i="1"/>
  <c r="E157" i="1"/>
  <c r="E158" i="1"/>
  <c r="E159" i="1"/>
  <c r="E160" i="1"/>
  <c r="E161" i="1"/>
  <c r="E162" i="1"/>
  <c r="E163" i="1"/>
  <c r="E164" i="1"/>
  <c r="E165" i="1"/>
  <c r="G165" i="1" s="1"/>
  <c r="E166" i="1"/>
  <c r="E167" i="1"/>
  <c r="E168" i="1"/>
  <c r="E169" i="1"/>
  <c r="E170" i="1"/>
  <c r="E171" i="1"/>
  <c r="E172" i="1"/>
  <c r="E173" i="1"/>
  <c r="G173" i="1" s="1"/>
  <c r="E174" i="1"/>
  <c r="E175" i="1"/>
  <c r="E176" i="1"/>
  <c r="E177" i="1"/>
  <c r="E178" i="1"/>
  <c r="E179" i="1"/>
  <c r="E180" i="1"/>
  <c r="E181" i="1"/>
  <c r="G181" i="1" s="1"/>
  <c r="E182" i="1"/>
  <c r="E183" i="1"/>
  <c r="E184" i="1"/>
  <c r="E185" i="1"/>
  <c r="E186" i="1"/>
  <c r="E187" i="1"/>
  <c r="E188" i="1"/>
  <c r="E189" i="1"/>
  <c r="G189" i="1" s="1"/>
  <c r="E190" i="1"/>
  <c r="E191" i="1"/>
  <c r="E192" i="1"/>
  <c r="E193" i="1"/>
  <c r="E194" i="1"/>
  <c r="E195" i="1"/>
  <c r="E196" i="1"/>
  <c r="E197" i="1"/>
  <c r="G197" i="1" s="1"/>
  <c r="E198" i="1"/>
  <c r="E199" i="1"/>
  <c r="E200" i="1"/>
  <c r="E201" i="1"/>
  <c r="E202" i="1"/>
  <c r="E203" i="1"/>
  <c r="E204" i="1"/>
  <c r="E205" i="1"/>
  <c r="G205" i="1" s="1"/>
  <c r="E206" i="1"/>
  <c r="E207" i="1"/>
  <c r="E208" i="1"/>
  <c r="G208" i="1" s="1"/>
  <c r="E209" i="1"/>
  <c r="E210" i="1"/>
  <c r="E211" i="1"/>
  <c r="E212" i="1"/>
  <c r="E213" i="1"/>
  <c r="G213" i="1" s="1"/>
  <c r="E214" i="1"/>
  <c r="E215" i="1"/>
  <c r="E216" i="1"/>
  <c r="E217" i="1"/>
  <c r="E218" i="1"/>
  <c r="E219" i="1"/>
  <c r="E220" i="1"/>
  <c r="E221" i="1"/>
  <c r="G221" i="1" s="1"/>
  <c r="E222" i="1"/>
  <c r="E223" i="1"/>
  <c r="E224" i="1"/>
  <c r="E225" i="1"/>
  <c r="E226" i="1"/>
  <c r="E227" i="1"/>
  <c r="E228" i="1"/>
  <c r="E229" i="1"/>
  <c r="G229" i="1" s="1"/>
  <c r="E230" i="1"/>
  <c r="E231" i="1"/>
  <c r="E232" i="1"/>
  <c r="E233" i="1"/>
  <c r="E234" i="1"/>
  <c r="E235" i="1"/>
  <c r="E236" i="1"/>
  <c r="E237" i="1"/>
  <c r="G237" i="1" s="1"/>
  <c r="E238" i="1"/>
  <c r="E239" i="1"/>
  <c r="E240" i="1"/>
  <c r="E241" i="1"/>
  <c r="E242" i="1"/>
  <c r="E243" i="1"/>
  <c r="E244" i="1"/>
  <c r="E245" i="1"/>
  <c r="G245" i="1" s="1"/>
  <c r="E246" i="1"/>
  <c r="E247" i="1"/>
  <c r="E248" i="1"/>
  <c r="E249" i="1"/>
  <c r="E250" i="1"/>
  <c r="E251" i="1"/>
  <c r="E252" i="1"/>
  <c r="E253" i="1"/>
  <c r="G253" i="1" s="1"/>
  <c r="E254" i="1"/>
  <c r="E255" i="1"/>
  <c r="E256" i="1"/>
  <c r="E257" i="1"/>
  <c r="E258" i="1"/>
  <c r="E259" i="1"/>
  <c r="E260" i="1"/>
  <c r="E261" i="1"/>
  <c r="G261" i="1" s="1"/>
  <c r="E262" i="1"/>
  <c r="E263" i="1"/>
  <c r="E264" i="1"/>
  <c r="E265" i="1"/>
  <c r="E266" i="1"/>
  <c r="E267" i="1"/>
  <c r="E268" i="1"/>
  <c r="E269" i="1"/>
  <c r="G269" i="1" s="1"/>
  <c r="E270" i="1"/>
  <c r="E271" i="1"/>
  <c r="E272" i="1"/>
  <c r="E273" i="1"/>
  <c r="E274" i="1"/>
  <c r="E275" i="1"/>
  <c r="E276" i="1"/>
  <c r="E277" i="1"/>
  <c r="G277" i="1" s="1"/>
  <c r="E278" i="1"/>
  <c r="E279" i="1"/>
  <c r="E280" i="1"/>
  <c r="E281" i="1"/>
  <c r="E282" i="1"/>
  <c r="E283" i="1"/>
  <c r="E284" i="1"/>
  <c r="E285" i="1"/>
  <c r="G285" i="1" s="1"/>
  <c r="E286" i="1"/>
  <c r="E287" i="1"/>
  <c r="E288" i="1"/>
  <c r="E289" i="1"/>
  <c r="E5" i="1"/>
  <c r="E6" i="1"/>
  <c r="E7" i="1"/>
  <c r="E3" i="1"/>
  <c r="E4" i="1"/>
  <c r="E2" i="1"/>
  <c r="F26" i="1"/>
  <c r="G26" i="1" s="1"/>
  <c r="F27" i="1"/>
  <c r="F28" i="1"/>
  <c r="G28" i="1" s="1"/>
  <c r="F29" i="1"/>
  <c r="F30" i="1"/>
  <c r="G30" i="1" s="1"/>
  <c r="F31" i="1"/>
  <c r="F32" i="1"/>
  <c r="F33" i="1"/>
  <c r="G33" i="1" s="1"/>
  <c r="F34" i="1"/>
  <c r="G34" i="1" s="1"/>
  <c r="F35" i="1"/>
  <c r="F36" i="1"/>
  <c r="F37" i="1"/>
  <c r="F38" i="1"/>
  <c r="G38" i="1" s="1"/>
  <c r="F39" i="1"/>
  <c r="F40" i="1"/>
  <c r="F41" i="1"/>
  <c r="G41" i="1" s="1"/>
  <c r="F42" i="1"/>
  <c r="F43" i="1"/>
  <c r="F44" i="1"/>
  <c r="F45" i="1"/>
  <c r="F46" i="1"/>
  <c r="F47" i="1"/>
  <c r="F48" i="1"/>
  <c r="F49" i="1"/>
  <c r="G49" i="1" s="1"/>
  <c r="F50" i="1"/>
  <c r="F51" i="1"/>
  <c r="F52" i="1"/>
  <c r="G52" i="1" s="1"/>
  <c r="F53" i="1"/>
  <c r="F54" i="1"/>
  <c r="G54" i="1" s="1"/>
  <c r="F55" i="1"/>
  <c r="F56" i="1"/>
  <c r="F57" i="1"/>
  <c r="G57" i="1" s="1"/>
  <c r="F58" i="1"/>
  <c r="F59" i="1"/>
  <c r="F60" i="1"/>
  <c r="F61" i="1"/>
  <c r="F62" i="1"/>
  <c r="G62" i="1" s="1"/>
  <c r="F63" i="1"/>
  <c r="F64" i="1"/>
  <c r="F65" i="1"/>
  <c r="G65" i="1" s="1"/>
  <c r="F66" i="1"/>
  <c r="G66" i="1" s="1"/>
  <c r="F67" i="1"/>
  <c r="F68" i="1"/>
  <c r="G68" i="1" s="1"/>
  <c r="F69" i="1"/>
  <c r="F70" i="1"/>
  <c r="G70" i="1" s="1"/>
  <c r="F71" i="1"/>
  <c r="F72" i="1"/>
  <c r="F73" i="1"/>
  <c r="G73" i="1" s="1"/>
  <c r="F74" i="1"/>
  <c r="F75" i="1"/>
  <c r="F76" i="1"/>
  <c r="G76" i="1" s="1"/>
  <c r="F77" i="1"/>
  <c r="F78" i="1"/>
  <c r="G78" i="1" s="1"/>
  <c r="F79" i="1"/>
  <c r="F80" i="1"/>
  <c r="F81" i="1"/>
  <c r="G81" i="1" s="1"/>
  <c r="F82" i="1"/>
  <c r="G82" i="1" s="1"/>
  <c r="F83" i="1"/>
  <c r="F84" i="1"/>
  <c r="F85" i="1"/>
  <c r="F86" i="1"/>
  <c r="G86" i="1" s="1"/>
  <c r="F87" i="1"/>
  <c r="F88" i="1"/>
  <c r="F89" i="1"/>
  <c r="G89" i="1" s="1"/>
  <c r="F90" i="1"/>
  <c r="F91" i="1"/>
  <c r="F92" i="1"/>
  <c r="F93" i="1"/>
  <c r="F94" i="1"/>
  <c r="F95" i="1"/>
  <c r="F96" i="1"/>
  <c r="F97" i="1"/>
  <c r="G97" i="1" s="1"/>
  <c r="F98" i="1"/>
  <c r="F99" i="1"/>
  <c r="F100" i="1"/>
  <c r="G100" i="1" s="1"/>
  <c r="F101" i="1"/>
  <c r="F102" i="1"/>
  <c r="G102" i="1" s="1"/>
  <c r="F103" i="1"/>
  <c r="F104" i="1"/>
  <c r="F105" i="1"/>
  <c r="G105" i="1" s="1"/>
  <c r="F106" i="1"/>
  <c r="F107" i="1"/>
  <c r="F108" i="1"/>
  <c r="F109" i="1"/>
  <c r="F110" i="1"/>
  <c r="G110" i="1" s="1"/>
  <c r="F111" i="1"/>
  <c r="F112" i="1"/>
  <c r="F113" i="1"/>
  <c r="G113" i="1" s="1"/>
  <c r="F114" i="1"/>
  <c r="G114" i="1" s="1"/>
  <c r="F115" i="1"/>
  <c r="F116" i="1"/>
  <c r="G116" i="1" s="1"/>
  <c r="F117" i="1"/>
  <c r="F118" i="1"/>
  <c r="G118" i="1" s="1"/>
  <c r="F119" i="1"/>
  <c r="F120" i="1"/>
  <c r="F121" i="1"/>
  <c r="G121" i="1" s="1"/>
  <c r="F122" i="1"/>
  <c r="F123" i="1"/>
  <c r="F124" i="1"/>
  <c r="G124" i="1" s="1"/>
  <c r="F125" i="1"/>
  <c r="F126" i="1"/>
  <c r="F127" i="1"/>
  <c r="F128" i="1"/>
  <c r="F129" i="1"/>
  <c r="G129" i="1" s="1"/>
  <c r="F130" i="1"/>
  <c r="G130" i="1" s="1"/>
  <c r="F131" i="1"/>
  <c r="F132" i="1"/>
  <c r="G132" i="1" s="1"/>
  <c r="F133" i="1"/>
  <c r="F134" i="1"/>
  <c r="F135" i="1"/>
  <c r="F136" i="1"/>
  <c r="F137" i="1"/>
  <c r="G137" i="1" s="1"/>
  <c r="F138" i="1"/>
  <c r="G138" i="1" s="1"/>
  <c r="F139" i="1"/>
  <c r="F140" i="1"/>
  <c r="G140" i="1" s="1"/>
  <c r="F141" i="1"/>
  <c r="F142" i="1"/>
  <c r="G142" i="1" s="1"/>
  <c r="F143" i="1"/>
  <c r="F144" i="1"/>
  <c r="F145" i="1"/>
  <c r="G145" i="1" s="1"/>
  <c r="F146" i="1"/>
  <c r="F147" i="1"/>
  <c r="F148" i="1"/>
  <c r="G148" i="1" s="1"/>
  <c r="F149" i="1"/>
  <c r="F150" i="1"/>
  <c r="G150" i="1" s="1"/>
  <c r="F151" i="1"/>
  <c r="F152" i="1"/>
  <c r="F153" i="1"/>
  <c r="G153" i="1" s="1"/>
  <c r="F154" i="1"/>
  <c r="F155" i="1"/>
  <c r="F156" i="1"/>
  <c r="F157" i="1"/>
  <c r="F158" i="1"/>
  <c r="G158" i="1" s="1"/>
  <c r="F159" i="1"/>
  <c r="F160" i="1"/>
  <c r="F161" i="1"/>
  <c r="G161" i="1" s="1"/>
  <c r="F162" i="1"/>
  <c r="G162" i="1" s="1"/>
  <c r="F163" i="1"/>
  <c r="F164" i="1"/>
  <c r="G164" i="1" s="1"/>
  <c r="F165" i="1"/>
  <c r="F166" i="1"/>
  <c r="G166" i="1" s="1"/>
  <c r="F167" i="1"/>
  <c r="F168" i="1"/>
  <c r="F169" i="1"/>
  <c r="G169" i="1" s="1"/>
  <c r="F170" i="1"/>
  <c r="F171" i="1"/>
  <c r="F172" i="1"/>
  <c r="G172" i="1" s="1"/>
  <c r="F173" i="1"/>
  <c r="F174" i="1"/>
  <c r="F175" i="1"/>
  <c r="F176" i="1"/>
  <c r="F177" i="1"/>
  <c r="G177" i="1" s="1"/>
  <c r="F178" i="1"/>
  <c r="G178" i="1" s="1"/>
  <c r="F179" i="1"/>
  <c r="F180" i="1"/>
  <c r="G180" i="1" s="1"/>
  <c r="F181" i="1"/>
  <c r="F182" i="1"/>
  <c r="F183" i="1"/>
  <c r="F184" i="1"/>
  <c r="F185" i="1"/>
  <c r="G185" i="1" s="1"/>
  <c r="F186" i="1"/>
  <c r="G186" i="1" s="1"/>
  <c r="F187" i="1"/>
  <c r="F188" i="1"/>
  <c r="F189" i="1"/>
  <c r="F190" i="1"/>
  <c r="F191" i="1"/>
  <c r="F192" i="1"/>
  <c r="F193" i="1"/>
  <c r="G193" i="1" s="1"/>
  <c r="F194" i="1"/>
  <c r="G194" i="1" s="1"/>
  <c r="F195" i="1"/>
  <c r="F196" i="1"/>
  <c r="F197" i="1"/>
  <c r="F198" i="1"/>
  <c r="G198" i="1" s="1"/>
  <c r="F199" i="1"/>
  <c r="F200" i="1"/>
  <c r="F201" i="1"/>
  <c r="G201" i="1" s="1"/>
  <c r="F202" i="1"/>
  <c r="G202" i="1" s="1"/>
  <c r="F203" i="1"/>
  <c r="F204" i="1"/>
  <c r="G204" i="1" s="1"/>
  <c r="F205" i="1"/>
  <c r="F206" i="1"/>
  <c r="F207" i="1"/>
  <c r="F208" i="1"/>
  <c r="F209" i="1"/>
  <c r="G209" i="1" s="1"/>
  <c r="F210" i="1"/>
  <c r="G210" i="1" s="1"/>
  <c r="F211" i="1"/>
  <c r="F212" i="1"/>
  <c r="G212" i="1" s="1"/>
  <c r="F213" i="1"/>
  <c r="F214" i="1"/>
  <c r="G214" i="1" s="1"/>
  <c r="F215" i="1"/>
  <c r="F216" i="1"/>
  <c r="F217" i="1"/>
  <c r="G217" i="1" s="1"/>
  <c r="F218" i="1"/>
  <c r="F219" i="1"/>
  <c r="F220" i="1"/>
  <c r="G220" i="1" s="1"/>
  <c r="F221" i="1"/>
  <c r="F222" i="1"/>
  <c r="F223" i="1"/>
  <c r="F224" i="1"/>
  <c r="F225" i="1"/>
  <c r="G225" i="1" s="1"/>
  <c r="F226" i="1"/>
  <c r="G226" i="1" s="1"/>
  <c r="F227" i="1"/>
  <c r="F228" i="1"/>
  <c r="G228" i="1" s="1"/>
  <c r="F229" i="1"/>
  <c r="F230" i="1"/>
  <c r="F231" i="1"/>
  <c r="F232" i="1"/>
  <c r="F233" i="1"/>
  <c r="G233" i="1" s="1"/>
  <c r="F234" i="1"/>
  <c r="G234" i="1" s="1"/>
  <c r="F235" i="1"/>
  <c r="F236" i="1"/>
  <c r="F237" i="1"/>
  <c r="F238" i="1"/>
  <c r="F239" i="1"/>
  <c r="F240" i="1"/>
  <c r="F241" i="1"/>
  <c r="G241" i="1" s="1"/>
  <c r="F242" i="1"/>
  <c r="G242" i="1" s="1"/>
  <c r="F243" i="1"/>
  <c r="F244" i="1"/>
  <c r="F245" i="1"/>
  <c r="F246" i="1"/>
  <c r="G246" i="1" s="1"/>
  <c r="F247" i="1"/>
  <c r="F248" i="1"/>
  <c r="F249" i="1"/>
  <c r="G249" i="1" s="1"/>
  <c r="F250" i="1"/>
  <c r="F251" i="1"/>
  <c r="F252" i="1"/>
  <c r="F253" i="1"/>
  <c r="F254" i="1"/>
  <c r="F255" i="1"/>
  <c r="F256" i="1"/>
  <c r="F257" i="1"/>
  <c r="G257" i="1" s="1"/>
  <c r="F258" i="1"/>
  <c r="F259" i="1"/>
  <c r="F260" i="1"/>
  <c r="G260" i="1" s="1"/>
  <c r="F261" i="1"/>
  <c r="F262" i="1"/>
  <c r="G262" i="1" s="1"/>
  <c r="F263" i="1"/>
  <c r="F264" i="1"/>
  <c r="F265" i="1"/>
  <c r="G265" i="1" s="1"/>
  <c r="F266" i="1"/>
  <c r="G266" i="1" s="1"/>
  <c r="F267" i="1"/>
  <c r="F268" i="1"/>
  <c r="F269" i="1"/>
  <c r="F270" i="1"/>
  <c r="G270" i="1" s="1"/>
  <c r="F271" i="1"/>
  <c r="F272" i="1"/>
  <c r="F273" i="1"/>
  <c r="G273" i="1" s="1"/>
  <c r="F274" i="1"/>
  <c r="G274" i="1" s="1"/>
  <c r="F275" i="1"/>
  <c r="F276" i="1"/>
  <c r="G276" i="1" s="1"/>
  <c r="F277" i="1"/>
  <c r="F278" i="1"/>
  <c r="F279" i="1"/>
  <c r="F280" i="1"/>
  <c r="F281" i="1"/>
  <c r="G281" i="1" s="1"/>
  <c r="F282" i="1"/>
  <c r="G282" i="1" s="1"/>
  <c r="F283" i="1"/>
  <c r="F284" i="1"/>
  <c r="F285" i="1"/>
  <c r="F286" i="1"/>
  <c r="F287" i="1"/>
  <c r="F288" i="1"/>
  <c r="F289" i="1"/>
  <c r="G289" i="1" s="1"/>
  <c r="F14" i="1"/>
  <c r="F15" i="1"/>
  <c r="F16" i="1"/>
  <c r="F17" i="1"/>
  <c r="F18" i="1"/>
  <c r="G18" i="1" s="1"/>
  <c r="F19" i="1"/>
  <c r="G19" i="1" s="1"/>
  <c r="F20" i="1"/>
  <c r="F21" i="1"/>
  <c r="F22" i="1"/>
  <c r="G22" i="1" s="1"/>
  <c r="F23" i="1"/>
  <c r="F24" i="1"/>
  <c r="F25" i="1"/>
  <c r="F3" i="1"/>
  <c r="F4" i="1"/>
  <c r="F5" i="1"/>
  <c r="F6" i="1"/>
  <c r="F7" i="1"/>
  <c r="G7" i="1" s="1"/>
  <c r="F8" i="1"/>
  <c r="F9" i="1"/>
  <c r="G9" i="1" s="1"/>
  <c r="F10" i="1"/>
  <c r="G10" i="1" s="1"/>
  <c r="F11" i="1"/>
  <c r="G11" i="1" s="1"/>
  <c r="F12" i="1"/>
  <c r="G12" i="1" s="1"/>
  <c r="F13" i="1"/>
  <c r="F2" i="1"/>
  <c r="G2" i="1" s="1"/>
  <c r="G14"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165" i="1"/>
  <c r="J166" i="1"/>
  <c r="J167" i="1"/>
  <c r="J168" i="1"/>
  <c r="J169" i="1"/>
  <c r="J170" i="1"/>
  <c r="J171" i="1"/>
  <c r="J172" i="1"/>
  <c r="J17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V2" i="1"/>
  <c r="U2" i="1"/>
  <c r="T2" i="1"/>
  <c r="S2" i="1"/>
  <c r="R2" i="1"/>
  <c r="Q2" i="1"/>
  <c r="P2" i="1"/>
  <c r="O2" i="1"/>
  <c r="N2" i="1"/>
  <c r="M2" i="1"/>
  <c r="L2" i="1"/>
  <c r="K2" i="1"/>
  <c r="K3" i="1"/>
  <c r="K4" i="1"/>
  <c r="K5" i="1"/>
  <c r="K6" i="1"/>
  <c r="K7" i="1"/>
  <c r="K8" i="1"/>
  <c r="K9" i="1"/>
  <c r="K10"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G35" i="1"/>
  <c r="G36" i="1"/>
  <c r="G42" i="1"/>
  <c r="G43" i="1"/>
  <c r="G44" i="1"/>
  <c r="G46" i="1"/>
  <c r="G50" i="1"/>
  <c r="G51" i="1"/>
  <c r="G58" i="1"/>
  <c r="G59" i="1"/>
  <c r="G60" i="1"/>
  <c r="G61" i="1"/>
  <c r="G67" i="1"/>
  <c r="G72" i="1"/>
  <c r="G74" i="1"/>
  <c r="G75" i="1"/>
  <c r="G80" i="1"/>
  <c r="G83" i="1"/>
  <c r="G84" i="1"/>
  <c r="G90" i="1"/>
  <c r="G91" i="1"/>
  <c r="G92" i="1"/>
  <c r="G94" i="1"/>
  <c r="G98" i="1"/>
  <c r="G99" i="1"/>
  <c r="G106" i="1"/>
  <c r="G107" i="1"/>
  <c r="G108" i="1"/>
  <c r="G109" i="1"/>
  <c r="G115" i="1"/>
  <c r="G122" i="1"/>
  <c r="G123" i="1"/>
  <c r="G126" i="1"/>
  <c r="G131" i="1"/>
  <c r="G134" i="1"/>
  <c r="G139" i="1"/>
  <c r="G144" i="1"/>
  <c r="G146" i="1"/>
  <c r="G147" i="1"/>
  <c r="G154" i="1"/>
  <c r="G155" i="1"/>
  <c r="G156" i="1"/>
  <c r="G157" i="1"/>
  <c r="G163" i="1"/>
  <c r="G170" i="1"/>
  <c r="G171" i="1"/>
  <c r="G174" i="1"/>
  <c r="G179" i="1"/>
  <c r="G182" i="1"/>
  <c r="G187" i="1"/>
  <c r="G188" i="1"/>
  <c r="G190" i="1"/>
  <c r="G195" i="1"/>
  <c r="G196" i="1"/>
  <c r="G200" i="1"/>
  <c r="G203" i="1"/>
  <c r="G206" i="1"/>
  <c r="G211" i="1"/>
  <c r="G218" i="1"/>
  <c r="G219" i="1"/>
  <c r="G222" i="1"/>
  <c r="G227" i="1"/>
  <c r="G230" i="1"/>
  <c r="G235" i="1"/>
  <c r="G236" i="1"/>
  <c r="G238" i="1"/>
  <c r="G243" i="1"/>
  <c r="G244" i="1"/>
  <c r="G250" i="1"/>
  <c r="G251" i="1"/>
  <c r="G252" i="1"/>
  <c r="G254" i="1"/>
  <c r="G258" i="1"/>
  <c r="G259" i="1"/>
  <c r="G264" i="1"/>
  <c r="G267" i="1"/>
  <c r="G268" i="1"/>
  <c r="G272" i="1"/>
  <c r="G275" i="1"/>
  <c r="G278" i="1"/>
  <c r="G283" i="1"/>
  <c r="G284" i="1"/>
  <c r="G286" i="1"/>
  <c r="G27"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3" i="1"/>
  <c r="D4" i="1"/>
  <c r="D5" i="1"/>
  <c r="D2" i="1"/>
  <c r="G5" i="1"/>
  <c r="G16" i="1"/>
  <c r="G17" i="1"/>
  <c r="G20" i="1"/>
  <c r="G24" i="1"/>
  <c r="G25" i="1"/>
  <c r="G21" i="1" l="1"/>
  <c r="G159" i="1"/>
  <c r="G151" i="1"/>
  <c r="G143" i="1"/>
  <c r="G135" i="1"/>
  <c r="G127" i="1"/>
  <c r="G119" i="1"/>
  <c r="G111" i="1"/>
  <c r="G103" i="1"/>
  <c r="G95" i="1"/>
  <c r="G87" i="1"/>
  <c r="G79" i="1"/>
  <c r="G71" i="1"/>
  <c r="G63" i="1"/>
  <c r="G55" i="1"/>
  <c r="G47" i="1"/>
  <c r="G39" i="1"/>
  <c r="G31" i="1"/>
  <c r="G192" i="1"/>
  <c r="G184" i="1"/>
  <c r="G176" i="1"/>
  <c r="G168" i="1"/>
  <c r="G160" i="1"/>
  <c r="G152" i="1"/>
  <c r="G128" i="1"/>
  <c r="G120" i="1"/>
  <c r="G112" i="1"/>
  <c r="G104" i="1"/>
  <c r="G96" i="1"/>
  <c r="G88" i="1"/>
  <c r="G64" i="1"/>
  <c r="G56" i="1"/>
  <c r="G48" i="1"/>
  <c r="G40" i="1"/>
  <c r="G32" i="1"/>
  <c r="G4" i="1"/>
  <c r="G3" i="1"/>
  <c r="G288" i="1"/>
  <c r="G280" i="1"/>
  <c r="G256" i="1"/>
  <c r="G248" i="1"/>
  <c r="G240" i="1"/>
  <c r="G232" i="1"/>
  <c r="G224" i="1"/>
  <c r="G216" i="1"/>
  <c r="G6" i="1"/>
  <c r="G287" i="1"/>
  <c r="G279" i="1"/>
  <c r="G271" i="1"/>
  <c r="G263" i="1"/>
  <c r="G255" i="1"/>
  <c r="G247" i="1"/>
  <c r="G239" i="1"/>
  <c r="G231" i="1"/>
  <c r="G223" i="1"/>
  <c r="G215" i="1"/>
  <c r="G207" i="1"/>
  <c r="G199" i="1"/>
  <c r="G191" i="1"/>
  <c r="G183" i="1"/>
  <c r="G175" i="1"/>
  <c r="G167" i="1"/>
  <c r="G23" i="1"/>
  <c r="G15" i="1"/>
</calcChain>
</file>

<file path=xl/sharedStrings.xml><?xml version="1.0" encoding="utf-8"?>
<sst xmlns="http://schemas.openxmlformats.org/spreadsheetml/2006/main" count="310" uniqueCount="23">
  <si>
    <t>Province</t>
  </si>
  <si>
    <t>Year</t>
  </si>
  <si>
    <t>Month</t>
  </si>
  <si>
    <t>Date</t>
  </si>
  <si>
    <t>Fuel_Consumption</t>
  </si>
  <si>
    <t>Population</t>
  </si>
  <si>
    <t>Per_Capita_Cons</t>
  </si>
  <si>
    <t>Quebec</t>
  </si>
  <si>
    <t>Post</t>
  </si>
  <si>
    <t>DiD</t>
  </si>
  <si>
    <t>Jan</t>
  </si>
  <si>
    <t>Feb</t>
  </si>
  <si>
    <t>March</t>
  </si>
  <si>
    <t>April</t>
  </si>
  <si>
    <t>June</t>
  </si>
  <si>
    <t>July</t>
  </si>
  <si>
    <t>May</t>
  </si>
  <si>
    <t>Sep</t>
  </si>
  <si>
    <t>Aug</t>
  </si>
  <si>
    <t>Oct</t>
  </si>
  <si>
    <t>Nov</t>
  </si>
  <si>
    <t>Dec</t>
  </si>
  <si>
    <t>Ontario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</si>
</sst>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_Fue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Quarterly_Popu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310008001-eng"/>
    </sheetNames>
    <sheetDataSet>
      <sheetData sheetId="0">
        <row r="13">
          <cell r="B13">
            <v>628294</v>
          </cell>
          <cell r="C13">
            <v>1132757</v>
          </cell>
        </row>
        <row r="14">
          <cell r="B14">
            <v>599877</v>
          </cell>
          <cell r="C14">
            <v>1067511</v>
          </cell>
        </row>
        <row r="15">
          <cell r="B15">
            <v>561209</v>
          </cell>
          <cell r="C15">
            <v>1121969</v>
          </cell>
        </row>
        <row r="16">
          <cell r="B16">
            <v>526333</v>
          </cell>
          <cell r="C16">
            <v>1108983</v>
          </cell>
        </row>
        <row r="17">
          <cell r="B17">
            <v>687797</v>
          </cell>
          <cell r="C17">
            <v>1226616</v>
          </cell>
        </row>
        <row r="18">
          <cell r="B18">
            <v>677809</v>
          </cell>
          <cell r="C18">
            <v>1239545</v>
          </cell>
        </row>
        <row r="19">
          <cell r="B19">
            <v>684842</v>
          </cell>
          <cell r="C19">
            <v>1284522</v>
          </cell>
        </row>
        <row r="20">
          <cell r="B20">
            <v>698044</v>
          </cell>
          <cell r="C20">
            <v>1277018</v>
          </cell>
        </row>
        <row r="21">
          <cell r="B21">
            <v>622165</v>
          </cell>
          <cell r="C21">
            <v>1211020</v>
          </cell>
        </row>
        <row r="22">
          <cell r="B22">
            <v>657250</v>
          </cell>
          <cell r="C22">
            <v>1253450</v>
          </cell>
        </row>
        <row r="23">
          <cell r="B23">
            <v>637116</v>
          </cell>
          <cell r="C23">
            <v>1206962</v>
          </cell>
        </row>
        <row r="24">
          <cell r="B24">
            <v>641075</v>
          </cell>
          <cell r="C24">
            <v>1211775</v>
          </cell>
        </row>
        <row r="25">
          <cell r="B25">
            <v>632144</v>
          </cell>
          <cell r="C25">
            <v>1166474</v>
          </cell>
        </row>
        <row r="26">
          <cell r="B26">
            <v>598642</v>
          </cell>
          <cell r="C26">
            <v>1087808</v>
          </cell>
        </row>
        <row r="27">
          <cell r="B27">
            <v>648118</v>
          </cell>
          <cell r="C27">
            <v>1180251</v>
          </cell>
        </row>
        <row r="28">
          <cell r="B28">
            <v>607918</v>
          </cell>
          <cell r="C28">
            <v>1211225</v>
          </cell>
        </row>
        <row r="29">
          <cell r="B29">
            <v>696929</v>
          </cell>
          <cell r="C29">
            <v>1303708</v>
          </cell>
        </row>
        <row r="30">
          <cell r="B30">
            <v>596538</v>
          </cell>
          <cell r="C30">
            <v>1251454</v>
          </cell>
        </row>
        <row r="31">
          <cell r="B31">
            <v>724116</v>
          </cell>
          <cell r="C31">
            <v>1360657</v>
          </cell>
        </row>
        <row r="32">
          <cell r="B32">
            <v>741624</v>
          </cell>
          <cell r="C32">
            <v>1367343</v>
          </cell>
        </row>
        <row r="33">
          <cell r="B33">
            <v>644619</v>
          </cell>
          <cell r="C33">
            <v>1225913</v>
          </cell>
        </row>
        <row r="34">
          <cell r="B34">
            <v>688597</v>
          </cell>
          <cell r="C34">
            <v>1288382</v>
          </cell>
        </row>
        <row r="35">
          <cell r="B35">
            <v>630286</v>
          </cell>
          <cell r="C35">
            <v>1256114</v>
          </cell>
        </row>
        <row r="36">
          <cell r="B36">
            <v>675814</v>
          </cell>
          <cell r="C36">
            <v>1243816</v>
          </cell>
        </row>
        <row r="37">
          <cell r="B37">
            <v>605809</v>
          </cell>
          <cell r="C37">
            <v>1250136</v>
          </cell>
        </row>
        <row r="38">
          <cell r="B38">
            <v>585236</v>
          </cell>
          <cell r="C38">
            <v>1152454</v>
          </cell>
        </row>
        <row r="39">
          <cell r="B39">
            <v>656387</v>
          </cell>
          <cell r="C39">
            <v>1252374</v>
          </cell>
        </row>
        <row r="40">
          <cell r="B40">
            <v>636063</v>
          </cell>
          <cell r="C40">
            <v>1182088</v>
          </cell>
        </row>
        <row r="41">
          <cell r="B41">
            <v>697739</v>
          </cell>
          <cell r="C41">
            <v>1309846</v>
          </cell>
        </row>
        <row r="42">
          <cell r="B42">
            <v>580686</v>
          </cell>
          <cell r="C42">
            <v>1325631</v>
          </cell>
        </row>
        <row r="43">
          <cell r="B43">
            <v>728370</v>
          </cell>
          <cell r="C43">
            <v>1363298</v>
          </cell>
        </row>
        <row r="44">
          <cell r="B44">
            <v>736264</v>
          </cell>
          <cell r="C44">
            <v>1367747</v>
          </cell>
        </row>
        <row r="45">
          <cell r="B45">
            <v>663648</v>
          </cell>
          <cell r="C45">
            <v>1283645</v>
          </cell>
        </row>
        <row r="46">
          <cell r="B46">
            <v>711106</v>
          </cell>
          <cell r="C46">
            <v>1351734</v>
          </cell>
        </row>
        <row r="47">
          <cell r="B47">
            <v>660134</v>
          </cell>
          <cell r="C47">
            <v>1229545</v>
          </cell>
        </row>
        <row r="48">
          <cell r="B48">
            <v>697008</v>
          </cell>
          <cell r="C48">
            <v>1313032</v>
          </cell>
        </row>
        <row r="49">
          <cell r="B49">
            <v>701005</v>
          </cell>
          <cell r="C49">
            <v>1254509</v>
          </cell>
        </row>
        <row r="50">
          <cell r="B50">
            <v>652776</v>
          </cell>
          <cell r="C50">
            <v>1169583</v>
          </cell>
        </row>
        <row r="51">
          <cell r="B51">
            <v>672349</v>
          </cell>
          <cell r="C51">
            <v>1264499</v>
          </cell>
        </row>
        <row r="52">
          <cell r="B52">
            <v>655654</v>
          </cell>
          <cell r="C52">
            <v>1230486</v>
          </cell>
        </row>
        <row r="53">
          <cell r="B53">
            <v>686656</v>
          </cell>
          <cell r="C53">
            <v>1349851</v>
          </cell>
        </row>
        <row r="54">
          <cell r="B54">
            <v>705342</v>
          </cell>
          <cell r="C54">
            <v>1323687</v>
          </cell>
        </row>
        <row r="55">
          <cell r="B55">
            <v>729084</v>
          </cell>
          <cell r="C55">
            <v>1359213</v>
          </cell>
        </row>
        <row r="56">
          <cell r="B56">
            <v>725860</v>
          </cell>
          <cell r="C56">
            <v>1344832</v>
          </cell>
        </row>
        <row r="57">
          <cell r="B57">
            <v>686283</v>
          </cell>
          <cell r="C57">
            <v>1274474</v>
          </cell>
        </row>
        <row r="58">
          <cell r="B58">
            <v>689518</v>
          </cell>
          <cell r="C58">
            <v>1319135</v>
          </cell>
        </row>
        <row r="59">
          <cell r="B59">
            <v>672656</v>
          </cell>
          <cell r="C59">
            <v>1279635</v>
          </cell>
        </row>
        <row r="60">
          <cell r="B60">
            <v>732510</v>
          </cell>
          <cell r="C60">
            <v>1335666</v>
          </cell>
        </row>
        <row r="61">
          <cell r="B61">
            <v>673405</v>
          </cell>
          <cell r="C61">
            <v>1228769</v>
          </cell>
        </row>
        <row r="62">
          <cell r="B62">
            <v>637462</v>
          </cell>
          <cell r="C62">
            <v>1177645</v>
          </cell>
        </row>
        <row r="63">
          <cell r="B63">
            <v>685779</v>
          </cell>
          <cell r="C63">
            <v>1244211</v>
          </cell>
        </row>
        <row r="64">
          <cell r="B64">
            <v>637288</v>
          </cell>
          <cell r="C64">
            <v>1234934</v>
          </cell>
        </row>
        <row r="65">
          <cell r="B65">
            <v>710781</v>
          </cell>
          <cell r="C65">
            <v>1334417</v>
          </cell>
        </row>
        <row r="66">
          <cell r="B66">
            <v>726018</v>
          </cell>
          <cell r="C66">
            <v>1351101</v>
          </cell>
        </row>
        <row r="67">
          <cell r="B67">
            <v>728773</v>
          </cell>
          <cell r="C67">
            <v>1378975</v>
          </cell>
        </row>
        <row r="68">
          <cell r="B68">
            <v>727777</v>
          </cell>
          <cell r="C68">
            <v>1333544</v>
          </cell>
        </row>
        <row r="69">
          <cell r="B69">
            <v>639717</v>
          </cell>
          <cell r="C69">
            <v>1214605</v>
          </cell>
        </row>
        <row r="70">
          <cell r="B70">
            <v>665953</v>
          </cell>
          <cell r="C70">
            <v>1300501</v>
          </cell>
        </row>
        <row r="71">
          <cell r="B71">
            <v>660584</v>
          </cell>
          <cell r="C71">
            <v>1248353</v>
          </cell>
        </row>
        <row r="72">
          <cell r="B72">
            <v>693350</v>
          </cell>
          <cell r="C72">
            <v>1291014</v>
          </cell>
        </row>
        <row r="73">
          <cell r="B73">
            <v>643697</v>
          </cell>
          <cell r="C73">
            <v>1212916</v>
          </cell>
        </row>
        <row r="74">
          <cell r="B74">
            <v>632565</v>
          </cell>
          <cell r="C74">
            <v>1070745</v>
          </cell>
        </row>
        <row r="75">
          <cell r="B75">
            <v>675254</v>
          </cell>
          <cell r="C75">
            <v>1244690</v>
          </cell>
        </row>
        <row r="76">
          <cell r="B76">
            <v>631184</v>
          </cell>
          <cell r="C76">
            <v>1215305</v>
          </cell>
        </row>
        <row r="77">
          <cell r="B77">
            <v>703096</v>
          </cell>
          <cell r="C77">
            <v>1310914</v>
          </cell>
        </row>
        <row r="78">
          <cell r="B78">
            <v>703051</v>
          </cell>
          <cell r="C78">
            <v>1322672</v>
          </cell>
        </row>
        <row r="79">
          <cell r="B79">
            <v>712525</v>
          </cell>
          <cell r="C79">
            <v>1349203</v>
          </cell>
        </row>
        <row r="80">
          <cell r="B80">
            <v>747850</v>
          </cell>
          <cell r="C80">
            <v>1421047</v>
          </cell>
        </row>
        <row r="81">
          <cell r="B81">
            <v>662451</v>
          </cell>
          <cell r="C81">
            <v>1244924</v>
          </cell>
        </row>
        <row r="82">
          <cell r="B82">
            <v>694006</v>
          </cell>
          <cell r="C82">
            <v>1313228</v>
          </cell>
        </row>
        <row r="83">
          <cell r="B83">
            <v>671271</v>
          </cell>
          <cell r="C83">
            <v>1261611</v>
          </cell>
        </row>
        <row r="84">
          <cell r="B84">
            <v>682116</v>
          </cell>
          <cell r="C84">
            <v>1301412</v>
          </cell>
        </row>
        <row r="85">
          <cell r="B85">
            <v>662395</v>
          </cell>
          <cell r="C85">
            <v>1263683</v>
          </cell>
        </row>
        <row r="86">
          <cell r="B86">
            <v>654974</v>
          </cell>
          <cell r="C86">
            <v>1183415</v>
          </cell>
        </row>
        <row r="87">
          <cell r="B87">
            <v>678289</v>
          </cell>
          <cell r="C87">
            <v>1257311</v>
          </cell>
        </row>
        <row r="88">
          <cell r="B88">
            <v>641821</v>
          </cell>
          <cell r="C88">
            <v>1237795</v>
          </cell>
        </row>
        <row r="89">
          <cell r="B89">
            <v>730773</v>
          </cell>
          <cell r="C89">
            <v>1365409</v>
          </cell>
        </row>
        <row r="90">
          <cell r="B90">
            <v>723389</v>
          </cell>
          <cell r="C90">
            <v>1366786</v>
          </cell>
        </row>
        <row r="91">
          <cell r="B91">
            <v>719615</v>
          </cell>
          <cell r="C91">
            <v>1383305</v>
          </cell>
        </row>
        <row r="92">
          <cell r="B92">
            <v>767499</v>
          </cell>
          <cell r="C92">
            <v>1406949</v>
          </cell>
        </row>
        <row r="93">
          <cell r="B93">
            <v>683980</v>
          </cell>
          <cell r="C93">
            <v>1283905</v>
          </cell>
        </row>
        <row r="94">
          <cell r="B94">
            <v>701418</v>
          </cell>
          <cell r="C94">
            <v>1342082</v>
          </cell>
        </row>
        <row r="95">
          <cell r="B95">
            <v>701665</v>
          </cell>
          <cell r="C95">
            <v>1308255</v>
          </cell>
        </row>
        <row r="96">
          <cell r="B96">
            <v>696066</v>
          </cell>
          <cell r="C96">
            <v>1303212</v>
          </cell>
        </row>
        <row r="97">
          <cell r="B97">
            <v>687801</v>
          </cell>
          <cell r="C97">
            <v>1262419</v>
          </cell>
        </row>
        <row r="98">
          <cell r="B98">
            <v>659905</v>
          </cell>
          <cell r="C98">
            <v>1185642</v>
          </cell>
        </row>
        <row r="99">
          <cell r="B99">
            <v>658526</v>
          </cell>
          <cell r="C99">
            <v>1238246</v>
          </cell>
        </row>
        <row r="100">
          <cell r="B100">
            <v>638973</v>
          </cell>
          <cell r="C100">
            <v>1232583</v>
          </cell>
        </row>
        <row r="101">
          <cell r="B101">
            <v>696599</v>
          </cell>
          <cell r="C101">
            <v>1327557</v>
          </cell>
        </row>
        <row r="102">
          <cell r="B102">
            <v>677582</v>
          </cell>
          <cell r="C102">
            <v>1216725</v>
          </cell>
        </row>
        <row r="103">
          <cell r="B103">
            <v>709515</v>
          </cell>
          <cell r="C103">
            <v>1355343</v>
          </cell>
        </row>
        <row r="104">
          <cell r="B104">
            <v>710603</v>
          </cell>
          <cell r="C104">
            <v>1345633</v>
          </cell>
        </row>
        <row r="105">
          <cell r="B105">
            <v>671409</v>
          </cell>
          <cell r="C105">
            <v>1289079</v>
          </cell>
        </row>
        <row r="106">
          <cell r="B106">
            <v>700613</v>
          </cell>
          <cell r="C106">
            <v>1374978</v>
          </cell>
        </row>
        <row r="107">
          <cell r="B107">
            <v>659262</v>
          </cell>
          <cell r="C107">
            <v>1280778</v>
          </cell>
        </row>
        <row r="108">
          <cell r="B108">
            <v>720750</v>
          </cell>
          <cell r="C108">
            <v>1334392</v>
          </cell>
        </row>
        <row r="109">
          <cell r="B109">
            <v>644490</v>
          </cell>
          <cell r="C109">
            <v>1263364</v>
          </cell>
        </row>
        <row r="110">
          <cell r="B110">
            <v>619708</v>
          </cell>
          <cell r="C110">
            <v>1162617</v>
          </cell>
        </row>
        <row r="111">
          <cell r="B111">
            <v>654581</v>
          </cell>
          <cell r="C111">
            <v>1273800</v>
          </cell>
        </row>
        <row r="112">
          <cell r="B112">
            <v>661738</v>
          </cell>
          <cell r="C112">
            <v>1265018</v>
          </cell>
        </row>
        <row r="113">
          <cell r="B113">
            <v>678441</v>
          </cell>
          <cell r="C113">
            <v>1338762</v>
          </cell>
        </row>
        <row r="114">
          <cell r="B114">
            <v>697581</v>
          </cell>
          <cell r="C114">
            <v>1343602</v>
          </cell>
        </row>
        <row r="115">
          <cell r="B115">
            <v>738912</v>
          </cell>
          <cell r="C115">
            <v>1406887</v>
          </cell>
        </row>
        <row r="116">
          <cell r="B116">
            <v>718381</v>
          </cell>
          <cell r="C116">
            <v>1362211</v>
          </cell>
        </row>
        <row r="117">
          <cell r="B117">
            <v>699878</v>
          </cell>
          <cell r="C117">
            <v>1334121</v>
          </cell>
        </row>
        <row r="118">
          <cell r="B118">
            <v>700150</v>
          </cell>
          <cell r="C118">
            <v>1330722</v>
          </cell>
        </row>
        <row r="119">
          <cell r="B119">
            <v>654007</v>
          </cell>
          <cell r="C119">
            <v>1276724</v>
          </cell>
        </row>
        <row r="120">
          <cell r="B120">
            <v>643128</v>
          </cell>
          <cell r="C120">
            <v>1341842</v>
          </cell>
        </row>
        <row r="121">
          <cell r="B121">
            <v>661528</v>
          </cell>
          <cell r="C121">
            <v>1218735</v>
          </cell>
        </row>
        <row r="122">
          <cell r="B122">
            <v>627361</v>
          </cell>
          <cell r="C122">
            <v>1143487</v>
          </cell>
        </row>
        <row r="123">
          <cell r="B123">
            <v>631373</v>
          </cell>
          <cell r="C123">
            <v>1285798</v>
          </cell>
        </row>
        <row r="124">
          <cell r="B124">
            <v>620720</v>
          </cell>
          <cell r="C124">
            <v>1274954</v>
          </cell>
        </row>
        <row r="125">
          <cell r="B125">
            <v>726854</v>
          </cell>
          <cell r="C125">
            <v>1374513</v>
          </cell>
        </row>
        <row r="126">
          <cell r="B126">
            <v>705932</v>
          </cell>
          <cell r="C126">
            <v>1391133</v>
          </cell>
        </row>
        <row r="127">
          <cell r="B127">
            <v>748112</v>
          </cell>
          <cell r="C127">
            <v>1377123</v>
          </cell>
        </row>
        <row r="128">
          <cell r="B128">
            <v>784449</v>
          </cell>
          <cell r="C128">
            <v>1383991</v>
          </cell>
        </row>
        <row r="129">
          <cell r="B129">
            <v>711258</v>
          </cell>
          <cell r="C129">
            <v>1314614</v>
          </cell>
        </row>
        <row r="130">
          <cell r="B130">
            <v>713192</v>
          </cell>
          <cell r="C130">
            <v>1345586</v>
          </cell>
        </row>
        <row r="131">
          <cell r="B131">
            <v>602405</v>
          </cell>
          <cell r="C131">
            <v>1318268</v>
          </cell>
        </row>
        <row r="132">
          <cell r="B132">
            <v>736784</v>
          </cell>
          <cell r="C132">
            <v>1352474</v>
          </cell>
        </row>
        <row r="133">
          <cell r="B133">
            <v>732695</v>
          </cell>
          <cell r="C133">
            <v>1263508</v>
          </cell>
        </row>
        <row r="134">
          <cell r="B134">
            <v>652183</v>
          </cell>
          <cell r="C134">
            <v>1160360</v>
          </cell>
        </row>
        <row r="135">
          <cell r="B135">
            <v>679469</v>
          </cell>
          <cell r="C135">
            <v>1280543</v>
          </cell>
        </row>
        <row r="136">
          <cell r="B136">
            <v>652203</v>
          </cell>
          <cell r="C136">
            <v>1227390</v>
          </cell>
        </row>
        <row r="137">
          <cell r="B137">
            <v>735028</v>
          </cell>
          <cell r="C137">
            <v>1325009</v>
          </cell>
        </row>
        <row r="138">
          <cell r="B138">
            <v>742298</v>
          </cell>
          <cell r="C138">
            <v>1356517</v>
          </cell>
        </row>
        <row r="139">
          <cell r="B139">
            <v>739929</v>
          </cell>
          <cell r="C139">
            <v>1367352</v>
          </cell>
        </row>
        <row r="140">
          <cell r="B140">
            <v>749247</v>
          </cell>
          <cell r="C140">
            <v>1388208</v>
          </cell>
        </row>
        <row r="141">
          <cell r="B141">
            <v>681864</v>
          </cell>
          <cell r="C141">
            <v>1271238</v>
          </cell>
        </row>
        <row r="142">
          <cell r="B142">
            <v>689131</v>
          </cell>
          <cell r="C142">
            <v>1336044</v>
          </cell>
        </row>
        <row r="143">
          <cell r="B143">
            <v>587564</v>
          </cell>
          <cell r="C143">
            <v>1308833</v>
          </cell>
        </row>
        <row r="144">
          <cell r="B144">
            <v>720480</v>
          </cell>
          <cell r="C144">
            <v>1328135</v>
          </cell>
        </row>
        <row r="145">
          <cell r="B145">
            <v>667963</v>
          </cell>
          <cell r="C145">
            <v>1220569</v>
          </cell>
        </row>
        <row r="146">
          <cell r="B146">
            <v>678610</v>
          </cell>
          <cell r="C146">
            <v>1180823</v>
          </cell>
        </row>
        <row r="147">
          <cell r="B147">
            <v>681635</v>
          </cell>
          <cell r="C147">
            <v>1265444</v>
          </cell>
        </row>
        <row r="148">
          <cell r="B148">
            <v>662131</v>
          </cell>
          <cell r="C148">
            <v>1251146</v>
          </cell>
        </row>
        <row r="149">
          <cell r="B149">
            <v>723420</v>
          </cell>
          <cell r="C149">
            <v>1359541</v>
          </cell>
        </row>
        <row r="150">
          <cell r="B150">
            <v>732133</v>
          </cell>
          <cell r="C150">
            <v>1373605</v>
          </cell>
        </row>
        <row r="151">
          <cell r="B151">
            <v>735081</v>
          </cell>
          <cell r="C151">
            <v>1352572</v>
          </cell>
        </row>
        <row r="152">
          <cell r="B152">
            <v>754022</v>
          </cell>
          <cell r="C152">
            <v>1377160</v>
          </cell>
        </row>
        <row r="153">
          <cell r="B153">
            <v>641012</v>
          </cell>
          <cell r="C153">
            <v>1287431</v>
          </cell>
        </row>
        <row r="154">
          <cell r="B154">
            <v>700628</v>
          </cell>
          <cell r="C154">
            <v>1358958</v>
          </cell>
        </row>
        <row r="155">
          <cell r="B155">
            <v>695386</v>
          </cell>
          <cell r="C155">
            <v>1258469</v>
          </cell>
        </row>
        <row r="156">
          <cell r="B156">
            <v>670247</v>
          </cell>
          <cell r="C156">
            <v>1290080</v>
          </cell>
        </row>
        <row r="160">
          <cell r="B160" t="str">
            <v>Note</v>
          </cell>
        </row>
        <row r="161">
          <cell r="B161" t="str">
            <v>On October 23, 2017, the data for 2015 were revised for Nunavut as part of a planned revision.</v>
          </cell>
        </row>
        <row r="162">
          <cell r="B162" t="str">
            <v>On November 14, 2016, the data for 2015 were revised for British Columbia as part of a unplanned revision.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710000901-eng"/>
    </sheetNames>
    <sheetDataSet>
      <sheetData sheetId="0">
        <row r="12">
          <cell r="B12">
            <v>7373978</v>
          </cell>
          <cell r="C12">
            <v>11771945</v>
          </cell>
        </row>
        <row r="13">
          <cell r="B13">
            <v>7383844</v>
          </cell>
          <cell r="C13">
            <v>11827345</v>
          </cell>
        </row>
        <row r="14">
          <cell r="B14">
            <v>7396014</v>
          </cell>
          <cell r="C14">
            <v>11897473</v>
          </cell>
        </row>
        <row r="15">
          <cell r="B15">
            <v>7411084</v>
          </cell>
          <cell r="C15">
            <v>11961546</v>
          </cell>
        </row>
        <row r="16">
          <cell r="B16">
            <v>7417456</v>
          </cell>
          <cell r="C16">
            <v>11979906</v>
          </cell>
        </row>
        <row r="17">
          <cell r="B17">
            <v>7427639</v>
          </cell>
          <cell r="C17">
            <v>12029818</v>
          </cell>
        </row>
        <row r="18">
          <cell r="B18">
            <v>7441305</v>
          </cell>
          <cell r="C18">
            <v>12093412</v>
          </cell>
        </row>
        <row r="19">
          <cell r="B19">
            <v>7455548</v>
          </cell>
          <cell r="C19">
            <v>12145100</v>
          </cell>
        </row>
        <row r="20">
          <cell r="B20">
            <v>7461162</v>
          </cell>
          <cell r="C20">
            <v>12155691</v>
          </cell>
        </row>
        <row r="21">
          <cell r="B21">
            <v>7471463</v>
          </cell>
          <cell r="C21">
            <v>12194269</v>
          </cell>
        </row>
        <row r="22">
          <cell r="B22">
            <v>7485488</v>
          </cell>
          <cell r="C22">
            <v>12243641</v>
          </cell>
        </row>
        <row r="23">
          <cell r="B23">
            <v>7503483</v>
          </cell>
          <cell r="C23">
            <v>12290116</v>
          </cell>
        </row>
        <row r="24">
          <cell r="B24">
            <v>7510218</v>
          </cell>
          <cell r="C24">
            <v>12303516</v>
          </cell>
        </row>
        <row r="25">
          <cell r="B25">
            <v>7520109</v>
          </cell>
          <cell r="C25">
            <v>12339813</v>
          </cell>
        </row>
        <row r="26">
          <cell r="B26">
            <v>7535483</v>
          </cell>
          <cell r="C26">
            <v>12389641</v>
          </cell>
        </row>
        <row r="27">
          <cell r="B27">
            <v>7553578</v>
          </cell>
          <cell r="C27">
            <v>12435931</v>
          </cell>
        </row>
        <row r="28">
          <cell r="B28">
            <v>7559576</v>
          </cell>
          <cell r="C28">
            <v>12444755</v>
          </cell>
        </row>
        <row r="29">
          <cell r="B29">
            <v>7567277</v>
          </cell>
          <cell r="C29">
            <v>12476560</v>
          </cell>
        </row>
        <row r="30">
          <cell r="B30">
            <v>7581467</v>
          </cell>
          <cell r="C30">
            <v>12527581</v>
          </cell>
        </row>
        <row r="31">
          <cell r="B31">
            <v>7598880</v>
          </cell>
          <cell r="C31">
            <v>12578240</v>
          </cell>
        </row>
        <row r="32">
          <cell r="B32">
            <v>7604228</v>
          </cell>
          <cell r="C32">
            <v>12587149</v>
          </cell>
        </row>
        <row r="33">
          <cell r="B33">
            <v>7615496</v>
          </cell>
          <cell r="C33">
            <v>12618321</v>
          </cell>
        </row>
        <row r="34">
          <cell r="B34">
            <v>7631901</v>
          </cell>
          <cell r="C34">
            <v>12661953</v>
          </cell>
        </row>
        <row r="35">
          <cell r="B35">
            <v>7652881</v>
          </cell>
          <cell r="C35">
            <v>12701324</v>
          </cell>
        </row>
        <row r="36">
          <cell r="B36">
            <v>7661201</v>
          </cell>
          <cell r="C36">
            <v>12703327</v>
          </cell>
        </row>
        <row r="37">
          <cell r="B37">
            <v>7673938</v>
          </cell>
          <cell r="C37">
            <v>12727090</v>
          </cell>
        </row>
        <row r="38">
          <cell r="B38">
            <v>7692400</v>
          </cell>
          <cell r="C38">
            <v>12765133</v>
          </cell>
        </row>
        <row r="39">
          <cell r="B39">
            <v>7712616</v>
          </cell>
          <cell r="C39">
            <v>12807497</v>
          </cell>
        </row>
        <row r="40">
          <cell r="B40">
            <v>7724885</v>
          </cell>
          <cell r="C40">
            <v>12814686</v>
          </cell>
        </row>
        <row r="41">
          <cell r="B41">
            <v>7739956</v>
          </cell>
          <cell r="C41">
            <v>12840482</v>
          </cell>
        </row>
        <row r="42">
          <cell r="B42">
            <v>7761614</v>
          </cell>
          <cell r="C42">
            <v>12883824</v>
          </cell>
        </row>
        <row r="43">
          <cell r="B43">
            <v>7786609</v>
          </cell>
          <cell r="C43">
            <v>12927520</v>
          </cell>
        </row>
        <row r="44">
          <cell r="B44">
            <v>7799271</v>
          </cell>
          <cell r="C44">
            <v>12932742</v>
          </cell>
        </row>
        <row r="45">
          <cell r="B45">
            <v>7817425</v>
          </cell>
          <cell r="C45">
            <v>12956924</v>
          </cell>
        </row>
        <row r="46">
          <cell r="B46">
            <v>7843915</v>
          </cell>
          <cell r="C46">
            <v>12998941</v>
          </cell>
        </row>
        <row r="47">
          <cell r="B47">
            <v>7871847</v>
          </cell>
          <cell r="C47">
            <v>13048442</v>
          </cell>
        </row>
        <row r="48">
          <cell r="B48">
            <v>7886127</v>
          </cell>
          <cell r="C48">
            <v>13059426</v>
          </cell>
        </row>
        <row r="49">
          <cell r="B49">
            <v>7903676</v>
          </cell>
          <cell r="C49">
            <v>13088924</v>
          </cell>
        </row>
        <row r="50">
          <cell r="B50">
            <v>7929479</v>
          </cell>
          <cell r="C50">
            <v>13136481</v>
          </cell>
        </row>
        <row r="51">
          <cell r="B51">
            <v>7955183</v>
          </cell>
          <cell r="C51">
            <v>13189987</v>
          </cell>
        </row>
        <row r="52">
          <cell r="B52">
            <v>7967270</v>
          </cell>
          <cell r="C52">
            <v>13199081</v>
          </cell>
        </row>
        <row r="53">
          <cell r="B53">
            <v>7982145</v>
          </cell>
          <cell r="C53">
            <v>13222146</v>
          </cell>
        </row>
        <row r="54">
          <cell r="B54">
            <v>8004736</v>
          </cell>
          <cell r="C54">
            <v>13262345</v>
          </cell>
        </row>
        <row r="55">
          <cell r="B55">
            <v>8021063</v>
          </cell>
          <cell r="C55">
            <v>13310604</v>
          </cell>
        </row>
        <row r="56">
          <cell r="B56">
            <v>8028516</v>
          </cell>
          <cell r="C56">
            <v>13325337</v>
          </cell>
        </row>
        <row r="57">
          <cell r="B57">
            <v>8038332</v>
          </cell>
          <cell r="C57">
            <v>13350123</v>
          </cell>
        </row>
        <row r="58">
          <cell r="B58">
            <v>8059752</v>
          </cell>
          <cell r="C58">
            <v>13392364</v>
          </cell>
        </row>
        <row r="59">
          <cell r="B59">
            <v>8076838</v>
          </cell>
          <cell r="C59">
            <v>13436625</v>
          </cell>
        </row>
        <row r="65">
          <cell r="B65" t="str">
            <v>Postcensal estimates are based on the 2021 Census counts adjusted for census net undercoverage (CNU) (including adjustment for incompletely enumerated reserves and settlements (IERS)) and the components of demographic growth that occurred since that census. Intercensal estimates are produced using counts from two consecutive censuses adjusted for CNU (including IERS) and postcensal estimates.</v>
          </cell>
        </row>
        <row r="66">
          <cell r="B66" t="str">
            <v>Population estimates: Q1 = January 1; Q2 = April 1; Q3 = July 1; Q4 = October 1.</v>
          </cell>
        </row>
        <row r="67">
          <cell r="B67" t="str">
            <v>Estimates are final intercensal and unadjusted for census net undercoverage prior to July 1, 1971. Estimates are final intercensal from July 1, 1971 to April 1, 2021, final postcensal for July 1, 2021, updated postcensal from October 1, 2021 to April 1, 2024 and preliminary postcensal from July 1, 2024.</v>
          </cell>
        </row>
        <row r="68">
          <cell r="B68" t="str">
            <v>The population growth, which is used to calculate population estimates, is comprised of the natural growth (Table 17100059), international migration (Table 17100040) and interprovincial migration (Tables 17100020 and 17100045).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89"/>
  <sheetViews>
    <sheetView tabSelected="1" topLeftCell="B5" workbookViewId="0">
      <selection activeCell="F11" sqref="F11"/>
    </sheetView>
  </sheetViews>
  <sheetFormatPr defaultRowHeight="14.4" x14ac:dyDescent="0.3"/>
  <cols>
    <col min="2" max="4" width="8.88671875" customWidth="1"/>
    <col min="5" max="5" width="16.88671875" customWidth="1"/>
    <col min="6" max="6" width="11.44140625" customWidth="1"/>
    <col min="7" max="7" width="16.109375" customWidth="1"/>
    <col min="19" max="19" width="8.554687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16</v>
      </c>
      <c r="P1" s="1" t="s">
        <v>14</v>
      </c>
      <c r="Q1" s="1" t="s">
        <v>15</v>
      </c>
      <c r="R1" s="1" t="s">
        <v>18</v>
      </c>
      <c r="S1" s="1" t="s">
        <v>17</v>
      </c>
      <c r="T1" s="1" t="s">
        <v>19</v>
      </c>
      <c r="U1" s="1" t="s">
        <v>20</v>
      </c>
      <c r="V1" s="1" t="s">
        <v>21</v>
      </c>
    </row>
    <row r="2" spans="1:22" x14ac:dyDescent="0.3">
      <c r="A2" t="s">
        <v>7</v>
      </c>
      <c r="B2">
        <v>2001</v>
      </c>
      <c r="C2">
        <v>1</v>
      </c>
      <c r="D2" t="str">
        <f>TEXT(DATE(B2,C2,1),"yyyy-mm")</f>
        <v>2001-01</v>
      </c>
      <c r="E2" s="2">
        <f>IF(MOD(ROW()-2,2)=0, INDEX('[1]2310008001-eng'!$B$13:$B$288, (ROW()-2)/2+1), INDEX('[1]2310008001-eng'!$C$13:$C$288, (ROW()-2)/2+1))*1000</f>
        <v>628294000</v>
      </c>
      <c r="F2" s="2">
        <f>IF(MOD(ROW()-2,2)=0, INDEX('[2]1710000901-eng'!$B$12:$B$73, INT((ROW()-2)/6)+1), INDEX('[2]1710000901-eng'!$C$12:$C$73, INT((ROW()-2)/6)+1))</f>
        <v>7373978</v>
      </c>
      <c r="G2">
        <f>E2/F2</f>
        <v>85.20421406193509</v>
      </c>
      <c r="H2">
        <v>1</v>
      </c>
      <c r="I2">
        <v>0</v>
      </c>
      <c r="J2">
        <f>IF(AND(H2=1, I2=1), 1, 0)</f>
        <v>0</v>
      </c>
      <c r="K2">
        <f>IF(C2=1,1,0)</f>
        <v>1</v>
      </c>
      <c r="L2">
        <f>IF(C2=2,1,0)</f>
        <v>0</v>
      </c>
      <c r="M2">
        <f>IF(C2=3,1,0)</f>
        <v>0</v>
      </c>
      <c r="N2">
        <f>IF(C2=4,1,0)</f>
        <v>0</v>
      </c>
      <c r="O2">
        <f>IF(C2=5,1,0)</f>
        <v>0</v>
      </c>
      <c r="P2">
        <f>IF(C2=6,1,0)</f>
        <v>0</v>
      </c>
      <c r="Q2">
        <f>IF(C2=7,1,0)</f>
        <v>0</v>
      </c>
      <c r="R2">
        <f>IF(C2=8,1,0)</f>
        <v>0</v>
      </c>
      <c r="S2">
        <f>IF(C2=9,1,0)</f>
        <v>0</v>
      </c>
      <c r="T2">
        <f>IF(C2=10,1,0)</f>
        <v>0</v>
      </c>
      <c r="U2">
        <f>IF(C2=11,1,0)</f>
        <v>0</v>
      </c>
      <c r="V2">
        <f>IF(C2=12,1,0)</f>
        <v>0</v>
      </c>
    </row>
    <row r="3" spans="1:22" x14ac:dyDescent="0.3">
      <c r="A3" t="s">
        <v>22</v>
      </c>
      <c r="B3">
        <v>2001</v>
      </c>
      <c r="C3">
        <v>1</v>
      </c>
      <c r="D3" t="str">
        <f t="shared" ref="D3:D66" si="0">TEXT(DATE(B3,C3,1),"yyyy-mm")</f>
        <v>2001-01</v>
      </c>
      <c r="E3" s="2">
        <f>IF(MOD(ROW()-2,2)=0, INDEX('[1]2310008001-eng'!$B$13:$B$288, (ROW()-2)/2+1), INDEX('[1]2310008001-eng'!$C$13:$C$288, (ROW()-2)/2+1))*1000</f>
        <v>1132757000</v>
      </c>
      <c r="F3" s="2">
        <f>IF(MOD(ROW()-2,2)=0, INDEX('[2]1710000901-eng'!$B$12:$B$73, INT((ROW()-2)/6)+1), INDEX('[2]1710000901-eng'!$C$12:$C$73, INT((ROW()-2)/6)+1))</f>
        <v>11771945</v>
      </c>
      <c r="G3">
        <f t="shared" ref="G3:G66" si="1">E3/F3</f>
        <v>96.225135268640827</v>
      </c>
      <c r="H3">
        <v>0</v>
      </c>
      <c r="I3">
        <v>0</v>
      </c>
      <c r="J3">
        <f t="shared" ref="J3:J66" si="2">IF(AND(H3=1, I3=1), 1, 0)</f>
        <v>0</v>
      </c>
      <c r="K3">
        <f t="shared" ref="K3:K66" si="3">IF(C3=1,1,0)</f>
        <v>1</v>
      </c>
      <c r="L3">
        <f t="shared" ref="L3:L66" si="4">IF(C3=2,1,0)</f>
        <v>0</v>
      </c>
      <c r="M3">
        <f t="shared" ref="M3:M66" si="5">IF(C3=3,1,0)</f>
        <v>0</v>
      </c>
      <c r="N3">
        <f t="shared" ref="N3:N66" si="6">IF(C3=4,1,0)</f>
        <v>0</v>
      </c>
      <c r="O3">
        <f t="shared" ref="O3:O66" si="7">IF(C3=5,1,0)</f>
        <v>0</v>
      </c>
      <c r="P3">
        <f t="shared" ref="P3:P66" si="8">IF(C3=6,1,0)</f>
        <v>0</v>
      </c>
      <c r="Q3">
        <f t="shared" ref="Q3:Q66" si="9">IF(C3=7,1,0)</f>
        <v>0</v>
      </c>
      <c r="R3">
        <f t="shared" ref="R3:R66" si="10">IF(C3=8,1,0)</f>
        <v>0</v>
      </c>
      <c r="S3">
        <f t="shared" ref="S3:S66" si="11">IF(C3=9,1,0)</f>
        <v>0</v>
      </c>
      <c r="T3">
        <f t="shared" ref="T3:T66" si="12">IF(C3=10,1,0)</f>
        <v>0</v>
      </c>
      <c r="U3">
        <f t="shared" ref="U3:U66" si="13">IF(C3=11,1,0)</f>
        <v>0</v>
      </c>
      <c r="V3">
        <f t="shared" ref="V3:V66" si="14">IF(C3=12,1,0)</f>
        <v>0</v>
      </c>
    </row>
    <row r="4" spans="1:22" x14ac:dyDescent="0.3">
      <c r="A4" t="s">
        <v>7</v>
      </c>
      <c r="B4">
        <v>2001</v>
      </c>
      <c r="C4">
        <v>2</v>
      </c>
      <c r="D4" t="str">
        <f t="shared" si="0"/>
        <v>2001-02</v>
      </c>
      <c r="E4" s="2">
        <f>IF(MOD(ROW()-2,2)=0, INDEX('[1]2310008001-eng'!$B$13:$B$288, (ROW()-2)/2+1), INDEX('[1]2310008001-eng'!$C$13:$C$288, (ROW()-2)/2+1))*1000</f>
        <v>599877000</v>
      </c>
      <c r="F4" s="2">
        <f>IF(MOD(ROW()-2,2)=0, INDEX('[2]1710000901-eng'!$B$12:$B$73, INT((ROW()-2)/6)+1), INDEX('[2]1710000901-eng'!$C$12:$C$73, INT((ROW()-2)/6)+1))</f>
        <v>7373978</v>
      </c>
      <c r="G4">
        <f t="shared" si="1"/>
        <v>81.350527490046758</v>
      </c>
      <c r="H4">
        <v>1</v>
      </c>
      <c r="I4">
        <v>0</v>
      </c>
      <c r="J4">
        <f t="shared" si="2"/>
        <v>0</v>
      </c>
      <c r="K4">
        <f t="shared" si="3"/>
        <v>0</v>
      </c>
      <c r="L4">
        <f t="shared" si="4"/>
        <v>1</v>
      </c>
      <c r="M4">
        <f t="shared" si="5"/>
        <v>0</v>
      </c>
      <c r="N4">
        <f t="shared" si="6"/>
        <v>0</v>
      </c>
      <c r="O4">
        <f t="shared" si="7"/>
        <v>0</v>
      </c>
      <c r="P4">
        <f t="shared" si="8"/>
        <v>0</v>
      </c>
      <c r="Q4">
        <f t="shared" si="9"/>
        <v>0</v>
      </c>
      <c r="R4">
        <f t="shared" si="10"/>
        <v>0</v>
      </c>
      <c r="S4">
        <f t="shared" si="11"/>
        <v>0</v>
      </c>
      <c r="T4">
        <f t="shared" si="12"/>
        <v>0</v>
      </c>
      <c r="U4">
        <f t="shared" si="13"/>
        <v>0</v>
      </c>
      <c r="V4">
        <f t="shared" si="14"/>
        <v>0</v>
      </c>
    </row>
    <row r="5" spans="1:22" x14ac:dyDescent="0.3">
      <c r="A5" t="s">
        <v>22</v>
      </c>
      <c r="B5">
        <v>2001</v>
      </c>
      <c r="C5">
        <v>2</v>
      </c>
      <c r="D5" t="str">
        <f t="shared" si="0"/>
        <v>2001-02</v>
      </c>
      <c r="E5" s="2">
        <f>IF(MOD(ROW()-2,2)=0, INDEX('[1]2310008001-eng'!$B$13:$B$288, (ROW()-2)/2+1), INDEX('[1]2310008001-eng'!$C$13:$C$288, (ROW()-2)/2+1))*1000</f>
        <v>1067511000</v>
      </c>
      <c r="F5" s="2">
        <f>IF(MOD(ROW()-2,2)=0, INDEX('[2]1710000901-eng'!$B$12:$B$73, INT((ROW()-2)/6)+1), INDEX('[2]1710000901-eng'!$C$12:$C$73, INT((ROW()-2)/6)+1))</f>
        <v>11771945</v>
      </c>
      <c r="G5">
        <f t="shared" si="1"/>
        <v>90.682635707183479</v>
      </c>
      <c r="H5">
        <v>0</v>
      </c>
      <c r="I5">
        <v>0</v>
      </c>
      <c r="J5">
        <f t="shared" si="2"/>
        <v>0</v>
      </c>
      <c r="K5">
        <f t="shared" si="3"/>
        <v>0</v>
      </c>
      <c r="L5">
        <f t="shared" si="4"/>
        <v>1</v>
      </c>
      <c r="M5">
        <f t="shared" si="5"/>
        <v>0</v>
      </c>
      <c r="N5">
        <f t="shared" si="6"/>
        <v>0</v>
      </c>
      <c r="O5">
        <f t="shared" si="7"/>
        <v>0</v>
      </c>
      <c r="P5">
        <f t="shared" si="8"/>
        <v>0</v>
      </c>
      <c r="Q5">
        <f t="shared" si="9"/>
        <v>0</v>
      </c>
      <c r="R5">
        <f t="shared" si="10"/>
        <v>0</v>
      </c>
      <c r="S5">
        <f t="shared" si="11"/>
        <v>0</v>
      </c>
      <c r="T5">
        <f t="shared" si="12"/>
        <v>0</v>
      </c>
      <c r="U5">
        <f t="shared" si="13"/>
        <v>0</v>
      </c>
      <c r="V5">
        <f t="shared" si="14"/>
        <v>0</v>
      </c>
    </row>
    <row r="6" spans="1:22" x14ac:dyDescent="0.3">
      <c r="A6" t="s">
        <v>7</v>
      </c>
      <c r="B6">
        <v>2001</v>
      </c>
      <c r="C6">
        <v>3</v>
      </c>
      <c r="D6" t="str">
        <f t="shared" si="0"/>
        <v>2001-03</v>
      </c>
      <c r="E6" s="2">
        <f>IF(MOD(ROW()-2,2)=0, INDEX('[1]2310008001-eng'!$B$13:$B$288, (ROW()-2)/2+1), INDEX('[1]2310008001-eng'!$C$13:$C$288, (ROW()-2)/2+1))*1000</f>
        <v>561209000</v>
      </c>
      <c r="F6" s="2">
        <f>IF(MOD(ROW()-2,2)=0, INDEX('[2]1710000901-eng'!$B$12:$B$73, INT((ROW()-2)/6)+1), INDEX('[2]1710000901-eng'!$C$12:$C$73, INT((ROW()-2)/6)+1))</f>
        <v>7373978</v>
      </c>
      <c r="G6">
        <f t="shared" si="1"/>
        <v>76.106682173448306</v>
      </c>
      <c r="H6">
        <v>1</v>
      </c>
      <c r="I6">
        <v>0</v>
      </c>
      <c r="J6">
        <f t="shared" si="2"/>
        <v>0</v>
      </c>
      <c r="K6">
        <f t="shared" si="3"/>
        <v>0</v>
      </c>
      <c r="L6">
        <f t="shared" si="4"/>
        <v>0</v>
      </c>
      <c r="M6">
        <f t="shared" si="5"/>
        <v>1</v>
      </c>
      <c r="N6">
        <f t="shared" si="6"/>
        <v>0</v>
      </c>
      <c r="O6">
        <f t="shared" si="7"/>
        <v>0</v>
      </c>
      <c r="P6">
        <f t="shared" si="8"/>
        <v>0</v>
      </c>
      <c r="Q6">
        <f t="shared" si="9"/>
        <v>0</v>
      </c>
      <c r="R6">
        <f t="shared" si="10"/>
        <v>0</v>
      </c>
      <c r="S6">
        <f t="shared" si="11"/>
        <v>0</v>
      </c>
      <c r="T6">
        <f t="shared" si="12"/>
        <v>0</v>
      </c>
      <c r="U6">
        <f t="shared" si="13"/>
        <v>0</v>
      </c>
      <c r="V6">
        <f t="shared" si="14"/>
        <v>0</v>
      </c>
    </row>
    <row r="7" spans="1:22" x14ac:dyDescent="0.3">
      <c r="A7" t="s">
        <v>22</v>
      </c>
      <c r="B7">
        <v>2001</v>
      </c>
      <c r="C7">
        <v>3</v>
      </c>
      <c r="D7" t="str">
        <f t="shared" si="0"/>
        <v>2001-03</v>
      </c>
      <c r="E7" s="2">
        <f>IF(MOD(ROW()-2,2)=0, INDEX('[1]2310008001-eng'!$B$13:$B$288, (ROW()-2)/2+1), INDEX('[1]2310008001-eng'!$C$13:$C$288, (ROW()-2)/2+1))*1000</f>
        <v>1121969000</v>
      </c>
      <c r="F7" s="2">
        <f>IF(MOD(ROW()-2,2)=0, INDEX('[2]1710000901-eng'!$B$12:$B$73, INT((ROW()-2)/6)+1), INDEX('[2]1710000901-eng'!$C$12:$C$73, INT((ROW()-2)/6)+1))</f>
        <v>11771945</v>
      </c>
      <c r="G7">
        <f t="shared" si="1"/>
        <v>95.308719162381408</v>
      </c>
      <c r="H7">
        <v>0</v>
      </c>
      <c r="I7">
        <v>0</v>
      </c>
      <c r="J7">
        <f t="shared" si="2"/>
        <v>0</v>
      </c>
      <c r="K7">
        <f t="shared" si="3"/>
        <v>0</v>
      </c>
      <c r="L7">
        <f t="shared" si="4"/>
        <v>0</v>
      </c>
      <c r="M7">
        <f t="shared" si="5"/>
        <v>1</v>
      </c>
      <c r="N7">
        <f t="shared" si="6"/>
        <v>0</v>
      </c>
      <c r="O7">
        <f t="shared" si="7"/>
        <v>0</v>
      </c>
      <c r="P7">
        <f t="shared" si="8"/>
        <v>0</v>
      </c>
      <c r="Q7">
        <f t="shared" si="9"/>
        <v>0</v>
      </c>
      <c r="R7">
        <f t="shared" si="10"/>
        <v>0</v>
      </c>
      <c r="S7">
        <f t="shared" si="11"/>
        <v>0</v>
      </c>
      <c r="T7">
        <f t="shared" si="12"/>
        <v>0</v>
      </c>
      <c r="U7">
        <f t="shared" si="13"/>
        <v>0</v>
      </c>
      <c r="V7">
        <f t="shared" si="14"/>
        <v>0</v>
      </c>
    </row>
    <row r="8" spans="1:22" x14ac:dyDescent="0.3">
      <c r="A8" t="s">
        <v>7</v>
      </c>
      <c r="B8">
        <v>2001</v>
      </c>
      <c r="C8">
        <v>4</v>
      </c>
      <c r="D8" t="str">
        <f t="shared" si="0"/>
        <v>2001-04</v>
      </c>
      <c r="E8" s="2">
        <f>IF(MOD(ROW()-2,2)=0, INDEX('[1]2310008001-eng'!$B$13:$B$288, (ROW()-2)/2+1), INDEX('[1]2310008001-eng'!$C$13:$C$288, (ROW()-2)/2+1))*1000</f>
        <v>526333000</v>
      </c>
      <c r="F8" s="2">
        <f>IF(MOD(ROW()-2,2)=0, INDEX('[2]1710000901-eng'!$B$12:$B$73, INT((ROW()-2)/6)+1), INDEX('[2]1710000901-eng'!$C$12:$C$73, INT((ROW()-2)/6)+1))</f>
        <v>7383844</v>
      </c>
      <c r="G8">
        <f t="shared" si="1"/>
        <v>71.281706384912795</v>
      </c>
      <c r="H8">
        <v>1</v>
      </c>
      <c r="I8">
        <v>0</v>
      </c>
      <c r="J8">
        <f t="shared" si="2"/>
        <v>0</v>
      </c>
      <c r="K8">
        <f t="shared" si="3"/>
        <v>0</v>
      </c>
      <c r="L8">
        <f t="shared" si="4"/>
        <v>0</v>
      </c>
      <c r="M8">
        <f t="shared" si="5"/>
        <v>0</v>
      </c>
      <c r="N8">
        <f t="shared" si="6"/>
        <v>1</v>
      </c>
      <c r="O8">
        <f t="shared" si="7"/>
        <v>0</v>
      </c>
      <c r="P8">
        <f t="shared" si="8"/>
        <v>0</v>
      </c>
      <c r="Q8">
        <f t="shared" si="9"/>
        <v>0</v>
      </c>
      <c r="R8">
        <f t="shared" si="10"/>
        <v>0</v>
      </c>
      <c r="S8">
        <f t="shared" si="11"/>
        <v>0</v>
      </c>
      <c r="T8">
        <f t="shared" si="12"/>
        <v>0</v>
      </c>
      <c r="U8">
        <f t="shared" si="13"/>
        <v>0</v>
      </c>
      <c r="V8">
        <f t="shared" si="14"/>
        <v>0</v>
      </c>
    </row>
    <row r="9" spans="1:22" x14ac:dyDescent="0.3">
      <c r="A9" t="s">
        <v>22</v>
      </c>
      <c r="B9">
        <v>2001</v>
      </c>
      <c r="C9">
        <v>4</v>
      </c>
      <c r="D9" t="str">
        <f t="shared" si="0"/>
        <v>2001-04</v>
      </c>
      <c r="E9" s="2">
        <f>IF(MOD(ROW()-2,2)=0, INDEX('[1]2310008001-eng'!$B$13:$B$288, (ROW()-2)/2+1), INDEX('[1]2310008001-eng'!$C$13:$C$288, (ROW()-2)/2+1))*1000</f>
        <v>1108983000</v>
      </c>
      <c r="F9" s="2">
        <f>IF(MOD(ROW()-2,2)=0, INDEX('[2]1710000901-eng'!$B$12:$B$73, INT((ROW()-2)/6)+1), INDEX('[2]1710000901-eng'!$C$12:$C$73, INT((ROW()-2)/6)+1))</f>
        <v>11827345</v>
      </c>
      <c r="G9">
        <f t="shared" si="1"/>
        <v>93.764323269508083</v>
      </c>
      <c r="H9">
        <v>0</v>
      </c>
      <c r="I9">
        <v>0</v>
      </c>
      <c r="J9">
        <f t="shared" si="2"/>
        <v>0</v>
      </c>
      <c r="K9">
        <f t="shared" si="3"/>
        <v>0</v>
      </c>
      <c r="L9">
        <f t="shared" si="4"/>
        <v>0</v>
      </c>
      <c r="M9">
        <f t="shared" si="5"/>
        <v>0</v>
      </c>
      <c r="N9">
        <f t="shared" si="6"/>
        <v>1</v>
      </c>
      <c r="O9">
        <f t="shared" si="7"/>
        <v>0</v>
      </c>
      <c r="P9">
        <f t="shared" si="8"/>
        <v>0</v>
      </c>
      <c r="Q9">
        <f t="shared" si="9"/>
        <v>0</v>
      </c>
      <c r="R9">
        <f t="shared" si="10"/>
        <v>0</v>
      </c>
      <c r="S9">
        <f t="shared" si="11"/>
        <v>0</v>
      </c>
      <c r="T9">
        <f t="shared" si="12"/>
        <v>0</v>
      </c>
      <c r="U9">
        <f t="shared" si="13"/>
        <v>0</v>
      </c>
      <c r="V9">
        <f t="shared" si="14"/>
        <v>0</v>
      </c>
    </row>
    <row r="10" spans="1:22" x14ac:dyDescent="0.3">
      <c r="A10" t="s">
        <v>7</v>
      </c>
      <c r="B10">
        <v>2001</v>
      </c>
      <c r="C10">
        <v>5</v>
      </c>
      <c r="D10" t="str">
        <f t="shared" si="0"/>
        <v>2001-05</v>
      </c>
      <c r="E10" s="2">
        <f>IF(MOD(ROW()-2,2)=0, INDEX('[1]2310008001-eng'!$B$13:$B$288, (ROW()-2)/2+1), INDEX('[1]2310008001-eng'!$C$13:$C$288, (ROW()-2)/2+1))*1000</f>
        <v>687797000</v>
      </c>
      <c r="F10" s="2">
        <f>IF(MOD(ROW()-2,2)=0, INDEX('[2]1710000901-eng'!$B$12:$B$73, INT((ROW()-2)/6)+1), INDEX('[2]1710000901-eng'!$C$12:$C$73, INT((ROW()-2)/6)+1))</f>
        <v>7383844</v>
      </c>
      <c r="G10">
        <f t="shared" si="1"/>
        <v>93.14890726293784</v>
      </c>
      <c r="H10">
        <v>1</v>
      </c>
      <c r="I10">
        <v>0</v>
      </c>
      <c r="J10">
        <f t="shared" si="2"/>
        <v>0</v>
      </c>
      <c r="K10">
        <f t="shared" si="3"/>
        <v>0</v>
      </c>
      <c r="L10">
        <f t="shared" si="4"/>
        <v>0</v>
      </c>
      <c r="M10">
        <f t="shared" si="5"/>
        <v>0</v>
      </c>
      <c r="N10">
        <f t="shared" si="6"/>
        <v>0</v>
      </c>
      <c r="O10">
        <f t="shared" si="7"/>
        <v>1</v>
      </c>
      <c r="P10">
        <f t="shared" si="8"/>
        <v>0</v>
      </c>
      <c r="Q10">
        <f t="shared" si="9"/>
        <v>0</v>
      </c>
      <c r="R10">
        <f t="shared" si="10"/>
        <v>0</v>
      </c>
      <c r="S10">
        <f t="shared" si="11"/>
        <v>0</v>
      </c>
      <c r="T10">
        <f t="shared" si="12"/>
        <v>0</v>
      </c>
      <c r="U10">
        <f t="shared" si="13"/>
        <v>0</v>
      </c>
      <c r="V10">
        <f t="shared" si="14"/>
        <v>0</v>
      </c>
    </row>
    <row r="11" spans="1:22" x14ac:dyDescent="0.3">
      <c r="A11" t="s">
        <v>22</v>
      </c>
      <c r="B11">
        <v>2001</v>
      </c>
      <c r="C11">
        <v>5</v>
      </c>
      <c r="D11" t="str">
        <f t="shared" si="0"/>
        <v>2001-05</v>
      </c>
      <c r="E11" s="2">
        <f>IF(MOD(ROW()-2,2)=0, INDEX('[1]2310008001-eng'!$B$13:$B$288, (ROW()-2)/2+1), INDEX('[1]2310008001-eng'!$C$13:$C$288, (ROW()-2)/2+1))*1000</f>
        <v>1226616000</v>
      </c>
      <c r="F11" s="2">
        <f>IF(MOD(ROW()-2,2)=0, INDEX('[2]1710000901-eng'!$B$12:$B$73, INT((ROW()-2)/6)+1), INDEX('[2]1710000901-eng'!$C$12:$C$73, INT((ROW()-2)/6)+1))</f>
        <v>11827345</v>
      </c>
      <c r="G11">
        <f t="shared" si="1"/>
        <v>103.71017333137742</v>
      </c>
      <c r="H11">
        <v>0</v>
      </c>
      <c r="I11">
        <v>0</v>
      </c>
      <c r="J11">
        <f t="shared" si="2"/>
        <v>0</v>
      </c>
      <c r="K11">
        <f>IF(C11=1,1,0)</f>
        <v>0</v>
      </c>
      <c r="L11">
        <f t="shared" si="4"/>
        <v>0</v>
      </c>
      <c r="M11">
        <f t="shared" si="5"/>
        <v>0</v>
      </c>
      <c r="N11">
        <f t="shared" si="6"/>
        <v>0</v>
      </c>
      <c r="O11">
        <f t="shared" si="7"/>
        <v>1</v>
      </c>
      <c r="P11">
        <f t="shared" si="8"/>
        <v>0</v>
      </c>
      <c r="Q11">
        <f t="shared" si="9"/>
        <v>0</v>
      </c>
      <c r="R11">
        <f t="shared" si="10"/>
        <v>0</v>
      </c>
      <c r="S11">
        <f t="shared" si="11"/>
        <v>0</v>
      </c>
      <c r="T11">
        <f t="shared" si="12"/>
        <v>0</v>
      </c>
      <c r="U11">
        <f t="shared" si="13"/>
        <v>0</v>
      </c>
      <c r="V11">
        <f t="shared" si="14"/>
        <v>0</v>
      </c>
    </row>
    <row r="12" spans="1:22" x14ac:dyDescent="0.3">
      <c r="A12" t="s">
        <v>7</v>
      </c>
      <c r="B12">
        <v>2001</v>
      </c>
      <c r="C12">
        <v>6</v>
      </c>
      <c r="D12" t="str">
        <f t="shared" si="0"/>
        <v>2001-06</v>
      </c>
      <c r="E12" s="2">
        <f>IF(MOD(ROW()-2,2)=0, INDEX('[1]2310008001-eng'!$B$13:$B$288, (ROW()-2)/2+1), INDEX('[1]2310008001-eng'!$C$13:$C$288, (ROW()-2)/2+1))*1000</f>
        <v>677809000</v>
      </c>
      <c r="F12" s="2">
        <f>IF(MOD(ROW()-2,2)=0, INDEX('[2]1710000901-eng'!$B$12:$B$73, INT((ROW()-2)/6)+1), INDEX('[2]1710000901-eng'!$C$12:$C$73, INT((ROW()-2)/6)+1))</f>
        <v>7383844</v>
      </c>
      <c r="G12">
        <f t="shared" si="1"/>
        <v>91.796224297263052</v>
      </c>
      <c r="H12">
        <v>1</v>
      </c>
      <c r="I12">
        <v>0</v>
      </c>
      <c r="J12">
        <f t="shared" si="2"/>
        <v>0</v>
      </c>
      <c r="K12">
        <f t="shared" si="3"/>
        <v>0</v>
      </c>
      <c r="L12">
        <f t="shared" si="4"/>
        <v>0</v>
      </c>
      <c r="M12">
        <f t="shared" si="5"/>
        <v>0</v>
      </c>
      <c r="N12">
        <f t="shared" si="6"/>
        <v>0</v>
      </c>
      <c r="O12">
        <f t="shared" si="7"/>
        <v>0</v>
      </c>
      <c r="P12">
        <f t="shared" si="8"/>
        <v>1</v>
      </c>
      <c r="Q12">
        <f t="shared" si="9"/>
        <v>0</v>
      </c>
      <c r="R12">
        <f t="shared" si="10"/>
        <v>0</v>
      </c>
      <c r="S12">
        <f t="shared" si="11"/>
        <v>0</v>
      </c>
      <c r="T12">
        <f t="shared" si="12"/>
        <v>0</v>
      </c>
      <c r="U12">
        <f t="shared" si="13"/>
        <v>0</v>
      </c>
      <c r="V12">
        <f t="shared" si="14"/>
        <v>0</v>
      </c>
    </row>
    <row r="13" spans="1:22" x14ac:dyDescent="0.3">
      <c r="A13" t="s">
        <v>22</v>
      </c>
      <c r="B13">
        <v>2001</v>
      </c>
      <c r="C13">
        <v>6</v>
      </c>
      <c r="D13" t="str">
        <f t="shared" si="0"/>
        <v>2001-06</v>
      </c>
      <c r="E13" s="2">
        <f>IF(MOD(ROW()-2,2)=0, INDEX('[1]2310008001-eng'!$B$13:$B$288, (ROW()-2)/2+1), INDEX('[1]2310008001-eng'!$C$13:$C$288, (ROW()-2)/2+1))*1000</f>
        <v>1239545000</v>
      </c>
      <c r="F13" s="2">
        <f>IF(MOD(ROW()-2,2)=0, INDEX('[2]1710000901-eng'!$B$12:$B$73, INT((ROW()-2)/6)+1), INDEX('[2]1710000901-eng'!$C$12:$C$73, INT((ROW()-2)/6)+1))</f>
        <v>11827345</v>
      </c>
      <c r="G13">
        <f t="shared" si="1"/>
        <v>104.80331807349832</v>
      </c>
      <c r="H13">
        <v>0</v>
      </c>
      <c r="I13">
        <v>0</v>
      </c>
      <c r="J13">
        <f t="shared" si="2"/>
        <v>0</v>
      </c>
      <c r="K13">
        <f t="shared" si="3"/>
        <v>0</v>
      </c>
      <c r="L13">
        <f t="shared" si="4"/>
        <v>0</v>
      </c>
      <c r="M13">
        <f t="shared" si="5"/>
        <v>0</v>
      </c>
      <c r="N13">
        <f t="shared" si="6"/>
        <v>0</v>
      </c>
      <c r="O13">
        <f t="shared" si="7"/>
        <v>0</v>
      </c>
      <c r="P13">
        <f t="shared" si="8"/>
        <v>1</v>
      </c>
      <c r="Q13">
        <f t="shared" si="9"/>
        <v>0</v>
      </c>
      <c r="R13">
        <f t="shared" si="10"/>
        <v>0</v>
      </c>
      <c r="S13">
        <f t="shared" si="11"/>
        <v>0</v>
      </c>
      <c r="T13">
        <f t="shared" si="12"/>
        <v>0</v>
      </c>
      <c r="U13">
        <f t="shared" si="13"/>
        <v>0</v>
      </c>
      <c r="V13">
        <f t="shared" si="14"/>
        <v>0</v>
      </c>
    </row>
    <row r="14" spans="1:22" x14ac:dyDescent="0.3">
      <c r="A14" t="s">
        <v>7</v>
      </c>
      <c r="B14">
        <v>2001</v>
      </c>
      <c r="C14">
        <v>7</v>
      </c>
      <c r="D14" t="str">
        <f t="shared" si="0"/>
        <v>2001-07</v>
      </c>
      <c r="E14" s="2">
        <f>IF(MOD(ROW()-2,2)=0, INDEX('[1]2310008001-eng'!$B$13:$B$288, (ROW()-2)/2+1), INDEX('[1]2310008001-eng'!$C$13:$C$288, (ROW()-2)/2+1))*1000</f>
        <v>684842000</v>
      </c>
      <c r="F14" s="2">
        <f>IF(MOD(ROW()-2,2)=0, INDEX('[2]1710000901-eng'!$B$12:$B$73, INT((ROW()-2)/6)+1), INDEX('[2]1710000901-eng'!$C$12:$C$73, INT((ROW()-2)/6)+1))</f>
        <v>7396014</v>
      </c>
      <c r="G14">
        <f t="shared" si="1"/>
        <v>92.596092976568187</v>
      </c>
      <c r="H14">
        <v>1</v>
      </c>
      <c r="I14">
        <v>0</v>
      </c>
      <c r="J14">
        <f t="shared" si="2"/>
        <v>0</v>
      </c>
      <c r="K14">
        <f t="shared" si="3"/>
        <v>0</v>
      </c>
      <c r="L14">
        <f t="shared" si="4"/>
        <v>0</v>
      </c>
      <c r="M14">
        <f t="shared" si="5"/>
        <v>0</v>
      </c>
      <c r="N14">
        <f t="shared" si="6"/>
        <v>0</v>
      </c>
      <c r="O14">
        <f t="shared" si="7"/>
        <v>0</v>
      </c>
      <c r="P14">
        <f t="shared" si="8"/>
        <v>0</v>
      </c>
      <c r="Q14">
        <f t="shared" si="9"/>
        <v>1</v>
      </c>
      <c r="R14">
        <f t="shared" si="10"/>
        <v>0</v>
      </c>
      <c r="S14">
        <f t="shared" si="11"/>
        <v>0</v>
      </c>
      <c r="T14">
        <f t="shared" si="12"/>
        <v>0</v>
      </c>
      <c r="U14">
        <f t="shared" si="13"/>
        <v>0</v>
      </c>
      <c r="V14">
        <f t="shared" si="14"/>
        <v>0</v>
      </c>
    </row>
    <row r="15" spans="1:22" x14ac:dyDescent="0.3">
      <c r="A15" t="s">
        <v>22</v>
      </c>
      <c r="B15">
        <v>2001</v>
      </c>
      <c r="C15">
        <v>7</v>
      </c>
      <c r="D15" t="str">
        <f t="shared" si="0"/>
        <v>2001-07</v>
      </c>
      <c r="E15" s="2">
        <f>IF(MOD(ROW()-2,2)=0, INDEX('[1]2310008001-eng'!$B$13:$B$288, (ROW()-2)/2+1), INDEX('[1]2310008001-eng'!$C$13:$C$288, (ROW()-2)/2+1))*1000</f>
        <v>1284522000</v>
      </c>
      <c r="F15" s="2">
        <f>IF(MOD(ROW()-2,2)=0, INDEX('[2]1710000901-eng'!$B$12:$B$73, INT((ROW()-2)/6)+1), INDEX('[2]1710000901-eng'!$C$12:$C$73, INT((ROW()-2)/6)+1))</f>
        <v>11897473</v>
      </c>
      <c r="G15">
        <f t="shared" si="1"/>
        <v>107.96595209755887</v>
      </c>
      <c r="H15">
        <v>0</v>
      </c>
      <c r="I15">
        <v>0</v>
      </c>
      <c r="J15">
        <f t="shared" si="2"/>
        <v>0</v>
      </c>
      <c r="K15">
        <f t="shared" si="3"/>
        <v>0</v>
      </c>
      <c r="L15">
        <f t="shared" si="4"/>
        <v>0</v>
      </c>
      <c r="M15">
        <f t="shared" si="5"/>
        <v>0</v>
      </c>
      <c r="N15">
        <f t="shared" si="6"/>
        <v>0</v>
      </c>
      <c r="O15">
        <f t="shared" si="7"/>
        <v>0</v>
      </c>
      <c r="P15">
        <f t="shared" si="8"/>
        <v>0</v>
      </c>
      <c r="Q15">
        <f t="shared" si="9"/>
        <v>1</v>
      </c>
      <c r="R15">
        <f t="shared" si="10"/>
        <v>0</v>
      </c>
      <c r="S15">
        <f t="shared" si="11"/>
        <v>0</v>
      </c>
      <c r="T15">
        <f t="shared" si="12"/>
        <v>0</v>
      </c>
      <c r="U15">
        <f t="shared" si="13"/>
        <v>0</v>
      </c>
      <c r="V15">
        <f t="shared" si="14"/>
        <v>0</v>
      </c>
    </row>
    <row r="16" spans="1:22" x14ac:dyDescent="0.3">
      <c r="A16" t="s">
        <v>7</v>
      </c>
      <c r="B16">
        <v>2001</v>
      </c>
      <c r="C16">
        <v>8</v>
      </c>
      <c r="D16" t="str">
        <f t="shared" si="0"/>
        <v>2001-08</v>
      </c>
      <c r="E16" s="2">
        <f>IF(MOD(ROW()-2,2)=0, INDEX('[1]2310008001-eng'!$B$13:$B$288, (ROW()-2)/2+1), INDEX('[1]2310008001-eng'!$C$13:$C$288, (ROW()-2)/2+1))*1000</f>
        <v>698044000</v>
      </c>
      <c r="F16" s="2">
        <f>IF(MOD(ROW()-2,2)=0, INDEX('[2]1710000901-eng'!$B$12:$B$73, INT((ROW()-2)/6)+1), INDEX('[2]1710000901-eng'!$C$12:$C$73, INT((ROW()-2)/6)+1))</f>
        <v>7396014</v>
      </c>
      <c r="G16">
        <f t="shared" si="1"/>
        <v>94.381108526836215</v>
      </c>
      <c r="H16">
        <v>1</v>
      </c>
      <c r="I16">
        <v>0</v>
      </c>
      <c r="J16">
        <f t="shared" si="2"/>
        <v>0</v>
      </c>
      <c r="K16">
        <f t="shared" si="3"/>
        <v>0</v>
      </c>
      <c r="L16">
        <f t="shared" si="4"/>
        <v>0</v>
      </c>
      <c r="M16">
        <f t="shared" si="5"/>
        <v>0</v>
      </c>
      <c r="N16">
        <f t="shared" si="6"/>
        <v>0</v>
      </c>
      <c r="O16">
        <f t="shared" si="7"/>
        <v>0</v>
      </c>
      <c r="P16">
        <f t="shared" si="8"/>
        <v>0</v>
      </c>
      <c r="Q16">
        <f t="shared" si="9"/>
        <v>0</v>
      </c>
      <c r="R16">
        <f t="shared" si="10"/>
        <v>1</v>
      </c>
      <c r="S16">
        <f t="shared" si="11"/>
        <v>0</v>
      </c>
      <c r="T16">
        <f t="shared" si="12"/>
        <v>0</v>
      </c>
      <c r="U16">
        <f t="shared" si="13"/>
        <v>0</v>
      </c>
      <c r="V16">
        <f t="shared" si="14"/>
        <v>0</v>
      </c>
    </row>
    <row r="17" spans="1:22" x14ac:dyDescent="0.3">
      <c r="A17" t="s">
        <v>22</v>
      </c>
      <c r="B17">
        <v>2001</v>
      </c>
      <c r="C17">
        <v>8</v>
      </c>
      <c r="D17" t="str">
        <f t="shared" si="0"/>
        <v>2001-08</v>
      </c>
      <c r="E17" s="2">
        <f>IF(MOD(ROW()-2,2)=0, INDEX('[1]2310008001-eng'!$B$13:$B$288, (ROW()-2)/2+1), INDEX('[1]2310008001-eng'!$C$13:$C$288, (ROW()-2)/2+1))*1000</f>
        <v>1277018000</v>
      </c>
      <c r="F17" s="2">
        <f>IF(MOD(ROW()-2,2)=0, INDEX('[2]1710000901-eng'!$B$12:$B$73, INT((ROW()-2)/6)+1), INDEX('[2]1710000901-eng'!$C$12:$C$73, INT((ROW()-2)/6)+1))</f>
        <v>11897473</v>
      </c>
      <c r="G17">
        <f t="shared" si="1"/>
        <v>107.33522992655668</v>
      </c>
      <c r="H17">
        <v>0</v>
      </c>
      <c r="I17">
        <v>0</v>
      </c>
      <c r="J17">
        <f t="shared" si="2"/>
        <v>0</v>
      </c>
      <c r="K17">
        <f t="shared" si="3"/>
        <v>0</v>
      </c>
      <c r="L17">
        <f t="shared" si="4"/>
        <v>0</v>
      </c>
      <c r="M17">
        <f t="shared" si="5"/>
        <v>0</v>
      </c>
      <c r="N17">
        <f t="shared" si="6"/>
        <v>0</v>
      </c>
      <c r="O17">
        <f t="shared" si="7"/>
        <v>0</v>
      </c>
      <c r="P17">
        <f t="shared" si="8"/>
        <v>0</v>
      </c>
      <c r="Q17">
        <f t="shared" si="9"/>
        <v>0</v>
      </c>
      <c r="R17">
        <f t="shared" si="10"/>
        <v>1</v>
      </c>
      <c r="S17">
        <f t="shared" si="11"/>
        <v>0</v>
      </c>
      <c r="T17">
        <f t="shared" si="12"/>
        <v>0</v>
      </c>
      <c r="U17">
        <f t="shared" si="13"/>
        <v>0</v>
      </c>
      <c r="V17">
        <f t="shared" si="14"/>
        <v>0</v>
      </c>
    </row>
    <row r="18" spans="1:22" x14ac:dyDescent="0.3">
      <c r="A18" t="s">
        <v>7</v>
      </c>
      <c r="B18">
        <v>2001</v>
      </c>
      <c r="C18">
        <v>9</v>
      </c>
      <c r="D18" t="str">
        <f t="shared" si="0"/>
        <v>2001-09</v>
      </c>
      <c r="E18" s="2">
        <f>IF(MOD(ROW()-2,2)=0, INDEX('[1]2310008001-eng'!$B$13:$B$288, (ROW()-2)/2+1), INDEX('[1]2310008001-eng'!$C$13:$C$288, (ROW()-2)/2+1))*1000</f>
        <v>622165000</v>
      </c>
      <c r="F18" s="2">
        <f>IF(MOD(ROW()-2,2)=0, INDEX('[2]1710000901-eng'!$B$12:$B$73, INT((ROW()-2)/6)+1), INDEX('[2]1710000901-eng'!$C$12:$C$73, INT((ROW()-2)/6)+1))</f>
        <v>7396014</v>
      </c>
      <c r="G18">
        <f t="shared" si="1"/>
        <v>84.121663371648566</v>
      </c>
      <c r="H18">
        <v>1</v>
      </c>
      <c r="I18">
        <v>0</v>
      </c>
      <c r="J18">
        <f t="shared" si="2"/>
        <v>0</v>
      </c>
      <c r="K18">
        <f t="shared" si="3"/>
        <v>0</v>
      </c>
      <c r="L18">
        <f t="shared" si="4"/>
        <v>0</v>
      </c>
      <c r="M18">
        <f t="shared" si="5"/>
        <v>0</v>
      </c>
      <c r="N18">
        <f t="shared" si="6"/>
        <v>0</v>
      </c>
      <c r="O18">
        <f t="shared" si="7"/>
        <v>0</v>
      </c>
      <c r="P18">
        <f t="shared" si="8"/>
        <v>0</v>
      </c>
      <c r="Q18">
        <f t="shared" si="9"/>
        <v>0</v>
      </c>
      <c r="R18">
        <f t="shared" si="10"/>
        <v>0</v>
      </c>
      <c r="S18">
        <f t="shared" si="11"/>
        <v>1</v>
      </c>
      <c r="T18">
        <f t="shared" si="12"/>
        <v>0</v>
      </c>
      <c r="U18">
        <f t="shared" si="13"/>
        <v>0</v>
      </c>
      <c r="V18">
        <f t="shared" si="14"/>
        <v>0</v>
      </c>
    </row>
    <row r="19" spans="1:22" x14ac:dyDescent="0.3">
      <c r="A19" t="s">
        <v>22</v>
      </c>
      <c r="B19">
        <v>2001</v>
      </c>
      <c r="C19">
        <v>9</v>
      </c>
      <c r="D19" t="str">
        <f t="shared" si="0"/>
        <v>2001-09</v>
      </c>
      <c r="E19" s="2">
        <f>IF(MOD(ROW()-2,2)=0, INDEX('[1]2310008001-eng'!$B$13:$B$288, (ROW()-2)/2+1), INDEX('[1]2310008001-eng'!$C$13:$C$288, (ROW()-2)/2+1))*1000</f>
        <v>1211020000</v>
      </c>
      <c r="F19" s="2">
        <f>IF(MOD(ROW()-2,2)=0, INDEX('[2]1710000901-eng'!$B$12:$B$73, INT((ROW()-2)/6)+1), INDEX('[2]1710000901-eng'!$C$12:$C$73, INT((ROW()-2)/6)+1))</f>
        <v>11897473</v>
      </c>
      <c r="G19">
        <f t="shared" si="1"/>
        <v>101.78800153612453</v>
      </c>
      <c r="H19">
        <v>0</v>
      </c>
      <c r="I19">
        <v>0</v>
      </c>
      <c r="J19">
        <f t="shared" si="2"/>
        <v>0</v>
      </c>
      <c r="K19">
        <f t="shared" si="3"/>
        <v>0</v>
      </c>
      <c r="L19">
        <f t="shared" si="4"/>
        <v>0</v>
      </c>
      <c r="M19">
        <f t="shared" si="5"/>
        <v>0</v>
      </c>
      <c r="N19">
        <f t="shared" si="6"/>
        <v>0</v>
      </c>
      <c r="O19">
        <f t="shared" si="7"/>
        <v>0</v>
      </c>
      <c r="P19">
        <f t="shared" si="8"/>
        <v>0</v>
      </c>
      <c r="Q19">
        <f t="shared" si="9"/>
        <v>0</v>
      </c>
      <c r="R19">
        <f t="shared" si="10"/>
        <v>0</v>
      </c>
      <c r="S19">
        <f t="shared" si="11"/>
        <v>1</v>
      </c>
      <c r="T19">
        <f t="shared" si="12"/>
        <v>0</v>
      </c>
      <c r="U19">
        <f t="shared" si="13"/>
        <v>0</v>
      </c>
      <c r="V19">
        <f t="shared" si="14"/>
        <v>0</v>
      </c>
    </row>
    <row r="20" spans="1:22" x14ac:dyDescent="0.3">
      <c r="A20" t="s">
        <v>7</v>
      </c>
      <c r="B20">
        <v>2001</v>
      </c>
      <c r="C20">
        <v>10</v>
      </c>
      <c r="D20" t="str">
        <f t="shared" si="0"/>
        <v>2001-10</v>
      </c>
      <c r="E20" s="2">
        <f>IF(MOD(ROW()-2,2)=0, INDEX('[1]2310008001-eng'!$B$13:$B$288, (ROW()-2)/2+1), INDEX('[1]2310008001-eng'!$C$13:$C$288, (ROW()-2)/2+1))*1000</f>
        <v>657250000</v>
      </c>
      <c r="F20" s="2">
        <f>IF(MOD(ROW()-2,2)=0, INDEX('[2]1710000901-eng'!$B$12:$B$73, INT((ROW()-2)/6)+1), INDEX('[2]1710000901-eng'!$C$12:$C$73, INT((ROW()-2)/6)+1))</f>
        <v>7411084</v>
      </c>
      <c r="G20">
        <f t="shared" si="1"/>
        <v>88.68473222000992</v>
      </c>
      <c r="H20">
        <v>1</v>
      </c>
      <c r="I20">
        <v>0</v>
      </c>
      <c r="J20">
        <f t="shared" si="2"/>
        <v>0</v>
      </c>
      <c r="K20">
        <f t="shared" si="3"/>
        <v>0</v>
      </c>
      <c r="L20">
        <f t="shared" si="4"/>
        <v>0</v>
      </c>
      <c r="M20">
        <f t="shared" si="5"/>
        <v>0</v>
      </c>
      <c r="N20">
        <f t="shared" si="6"/>
        <v>0</v>
      </c>
      <c r="O20">
        <f t="shared" si="7"/>
        <v>0</v>
      </c>
      <c r="P20">
        <f t="shared" si="8"/>
        <v>0</v>
      </c>
      <c r="Q20">
        <f t="shared" si="9"/>
        <v>0</v>
      </c>
      <c r="R20">
        <f t="shared" si="10"/>
        <v>0</v>
      </c>
      <c r="S20">
        <f t="shared" si="11"/>
        <v>0</v>
      </c>
      <c r="T20">
        <f t="shared" si="12"/>
        <v>1</v>
      </c>
      <c r="U20">
        <f t="shared" si="13"/>
        <v>0</v>
      </c>
      <c r="V20">
        <f t="shared" si="14"/>
        <v>0</v>
      </c>
    </row>
    <row r="21" spans="1:22" x14ac:dyDescent="0.3">
      <c r="A21" t="s">
        <v>22</v>
      </c>
      <c r="B21">
        <v>2001</v>
      </c>
      <c r="C21">
        <v>10</v>
      </c>
      <c r="D21" t="str">
        <f t="shared" si="0"/>
        <v>2001-10</v>
      </c>
      <c r="E21" s="2">
        <f>IF(MOD(ROW()-2,2)=0, INDEX('[1]2310008001-eng'!$B$13:$B$288, (ROW()-2)/2+1), INDEX('[1]2310008001-eng'!$C$13:$C$288, (ROW()-2)/2+1))*1000</f>
        <v>1253450000</v>
      </c>
      <c r="F21" s="2">
        <f>IF(MOD(ROW()-2,2)=0, INDEX('[2]1710000901-eng'!$B$12:$B$73, INT((ROW()-2)/6)+1), INDEX('[2]1710000901-eng'!$C$12:$C$73, INT((ROW()-2)/6)+1))</f>
        <v>11961546</v>
      </c>
      <c r="G21">
        <f t="shared" si="1"/>
        <v>104.78996611307602</v>
      </c>
      <c r="H21">
        <v>0</v>
      </c>
      <c r="I21">
        <v>0</v>
      </c>
      <c r="J21">
        <f t="shared" si="2"/>
        <v>0</v>
      </c>
      <c r="K21">
        <f t="shared" si="3"/>
        <v>0</v>
      </c>
      <c r="L21">
        <f t="shared" si="4"/>
        <v>0</v>
      </c>
      <c r="M21">
        <f t="shared" si="5"/>
        <v>0</v>
      </c>
      <c r="N21">
        <f t="shared" si="6"/>
        <v>0</v>
      </c>
      <c r="O21">
        <f t="shared" si="7"/>
        <v>0</v>
      </c>
      <c r="P21">
        <f t="shared" si="8"/>
        <v>0</v>
      </c>
      <c r="Q21">
        <f t="shared" si="9"/>
        <v>0</v>
      </c>
      <c r="R21">
        <f t="shared" si="10"/>
        <v>0</v>
      </c>
      <c r="S21">
        <f t="shared" si="11"/>
        <v>0</v>
      </c>
      <c r="T21">
        <f t="shared" si="12"/>
        <v>1</v>
      </c>
      <c r="U21">
        <f t="shared" si="13"/>
        <v>0</v>
      </c>
      <c r="V21">
        <f t="shared" si="14"/>
        <v>0</v>
      </c>
    </row>
    <row r="22" spans="1:22" x14ac:dyDescent="0.3">
      <c r="A22" t="s">
        <v>7</v>
      </c>
      <c r="B22">
        <v>2001</v>
      </c>
      <c r="C22">
        <v>11</v>
      </c>
      <c r="D22" t="str">
        <f t="shared" si="0"/>
        <v>2001-11</v>
      </c>
      <c r="E22" s="2">
        <f>IF(MOD(ROW()-2,2)=0, INDEX('[1]2310008001-eng'!$B$13:$B$288, (ROW()-2)/2+1), INDEX('[1]2310008001-eng'!$C$13:$C$288, (ROW()-2)/2+1))*1000</f>
        <v>637116000</v>
      </c>
      <c r="F22" s="2">
        <f>IF(MOD(ROW()-2,2)=0, INDEX('[2]1710000901-eng'!$B$12:$B$73, INT((ROW()-2)/6)+1), INDEX('[2]1710000901-eng'!$C$12:$C$73, INT((ROW()-2)/6)+1))</f>
        <v>7411084</v>
      </c>
      <c r="G22">
        <f t="shared" si="1"/>
        <v>85.967990647522015</v>
      </c>
      <c r="H22">
        <v>1</v>
      </c>
      <c r="I22">
        <v>0</v>
      </c>
      <c r="J22">
        <f t="shared" si="2"/>
        <v>0</v>
      </c>
      <c r="K22">
        <f t="shared" si="3"/>
        <v>0</v>
      </c>
      <c r="L22">
        <f t="shared" si="4"/>
        <v>0</v>
      </c>
      <c r="M22">
        <f t="shared" si="5"/>
        <v>0</v>
      </c>
      <c r="N22">
        <f t="shared" si="6"/>
        <v>0</v>
      </c>
      <c r="O22">
        <f t="shared" si="7"/>
        <v>0</v>
      </c>
      <c r="P22">
        <f t="shared" si="8"/>
        <v>0</v>
      </c>
      <c r="Q22">
        <f t="shared" si="9"/>
        <v>0</v>
      </c>
      <c r="R22">
        <f t="shared" si="10"/>
        <v>0</v>
      </c>
      <c r="S22">
        <f t="shared" si="11"/>
        <v>0</v>
      </c>
      <c r="T22">
        <f t="shared" si="12"/>
        <v>0</v>
      </c>
      <c r="U22">
        <f t="shared" si="13"/>
        <v>1</v>
      </c>
      <c r="V22">
        <f t="shared" si="14"/>
        <v>0</v>
      </c>
    </row>
    <row r="23" spans="1:22" x14ac:dyDescent="0.3">
      <c r="A23" t="s">
        <v>22</v>
      </c>
      <c r="B23">
        <v>2001</v>
      </c>
      <c r="C23">
        <v>11</v>
      </c>
      <c r="D23" t="str">
        <f t="shared" si="0"/>
        <v>2001-11</v>
      </c>
      <c r="E23" s="2">
        <f>IF(MOD(ROW()-2,2)=0, INDEX('[1]2310008001-eng'!$B$13:$B$288, (ROW()-2)/2+1), INDEX('[1]2310008001-eng'!$C$13:$C$288, (ROW()-2)/2+1))*1000</f>
        <v>1206962000</v>
      </c>
      <c r="F23" s="2">
        <f>IF(MOD(ROW()-2,2)=0, INDEX('[2]1710000901-eng'!$B$12:$B$73, INT((ROW()-2)/6)+1), INDEX('[2]1710000901-eng'!$C$12:$C$73, INT((ROW()-2)/6)+1))</f>
        <v>11961546</v>
      </c>
      <c r="G23">
        <f t="shared" si="1"/>
        <v>100.90351197077702</v>
      </c>
      <c r="H23">
        <v>0</v>
      </c>
      <c r="I23">
        <v>0</v>
      </c>
      <c r="J23">
        <f t="shared" si="2"/>
        <v>0</v>
      </c>
      <c r="K23">
        <f t="shared" si="3"/>
        <v>0</v>
      </c>
      <c r="L23">
        <f t="shared" si="4"/>
        <v>0</v>
      </c>
      <c r="M23">
        <f t="shared" si="5"/>
        <v>0</v>
      </c>
      <c r="N23">
        <f t="shared" si="6"/>
        <v>0</v>
      </c>
      <c r="O23">
        <f t="shared" si="7"/>
        <v>0</v>
      </c>
      <c r="P23">
        <f t="shared" si="8"/>
        <v>0</v>
      </c>
      <c r="Q23">
        <f t="shared" si="9"/>
        <v>0</v>
      </c>
      <c r="R23">
        <f t="shared" si="10"/>
        <v>0</v>
      </c>
      <c r="S23">
        <f t="shared" si="11"/>
        <v>0</v>
      </c>
      <c r="T23">
        <f t="shared" si="12"/>
        <v>0</v>
      </c>
      <c r="U23">
        <f t="shared" si="13"/>
        <v>1</v>
      </c>
      <c r="V23">
        <f t="shared" si="14"/>
        <v>0</v>
      </c>
    </row>
    <row r="24" spans="1:22" x14ac:dyDescent="0.3">
      <c r="A24" t="s">
        <v>7</v>
      </c>
      <c r="B24">
        <v>2001</v>
      </c>
      <c r="C24">
        <v>12</v>
      </c>
      <c r="D24" t="str">
        <f t="shared" si="0"/>
        <v>2001-12</v>
      </c>
      <c r="E24" s="2">
        <f>IF(MOD(ROW()-2,2)=0, INDEX('[1]2310008001-eng'!$B$13:$B$288, (ROW()-2)/2+1), INDEX('[1]2310008001-eng'!$C$13:$C$288, (ROW()-2)/2+1))*1000</f>
        <v>641075000</v>
      </c>
      <c r="F24" s="2">
        <f>IF(MOD(ROW()-2,2)=0, INDEX('[2]1710000901-eng'!$B$12:$B$73, INT((ROW()-2)/6)+1), INDEX('[2]1710000901-eng'!$C$12:$C$73, INT((ROW()-2)/6)+1))</f>
        <v>7411084</v>
      </c>
      <c r="G24">
        <f t="shared" si="1"/>
        <v>86.502190502765856</v>
      </c>
      <c r="H24">
        <v>1</v>
      </c>
      <c r="I24">
        <v>0</v>
      </c>
      <c r="J24">
        <f t="shared" si="2"/>
        <v>0</v>
      </c>
      <c r="K24">
        <f t="shared" si="3"/>
        <v>0</v>
      </c>
      <c r="L24">
        <f t="shared" si="4"/>
        <v>0</v>
      </c>
      <c r="M24">
        <f t="shared" si="5"/>
        <v>0</v>
      </c>
      <c r="N24">
        <f t="shared" si="6"/>
        <v>0</v>
      </c>
      <c r="O24">
        <f t="shared" si="7"/>
        <v>0</v>
      </c>
      <c r="P24">
        <f t="shared" si="8"/>
        <v>0</v>
      </c>
      <c r="Q24">
        <f t="shared" si="9"/>
        <v>0</v>
      </c>
      <c r="R24">
        <f t="shared" si="10"/>
        <v>0</v>
      </c>
      <c r="S24">
        <f t="shared" si="11"/>
        <v>0</v>
      </c>
      <c r="T24">
        <f t="shared" si="12"/>
        <v>0</v>
      </c>
      <c r="U24">
        <f t="shared" si="13"/>
        <v>0</v>
      </c>
      <c r="V24">
        <f t="shared" si="14"/>
        <v>1</v>
      </c>
    </row>
    <row r="25" spans="1:22" x14ac:dyDescent="0.3">
      <c r="A25" t="s">
        <v>22</v>
      </c>
      <c r="B25">
        <v>2001</v>
      </c>
      <c r="C25">
        <v>12</v>
      </c>
      <c r="D25" t="str">
        <f t="shared" si="0"/>
        <v>2001-12</v>
      </c>
      <c r="E25" s="2">
        <f>IF(MOD(ROW()-2,2)=0, INDEX('[1]2310008001-eng'!$B$13:$B$288, (ROW()-2)/2+1), INDEX('[1]2310008001-eng'!$C$13:$C$288, (ROW()-2)/2+1))*1000</f>
        <v>1211775000</v>
      </c>
      <c r="F25" s="2">
        <f>IF(MOD(ROW()-2,2)=0, INDEX('[2]1710000901-eng'!$B$12:$B$73, INT((ROW()-2)/6)+1), INDEX('[2]1710000901-eng'!$C$12:$C$73, INT((ROW()-2)/6)+1))</f>
        <v>11961546</v>
      </c>
      <c r="G25">
        <f t="shared" si="1"/>
        <v>101.30588470754533</v>
      </c>
      <c r="H25">
        <v>0</v>
      </c>
      <c r="I25">
        <v>0</v>
      </c>
      <c r="J25">
        <f t="shared" si="2"/>
        <v>0</v>
      </c>
      <c r="K25">
        <f t="shared" si="3"/>
        <v>0</v>
      </c>
      <c r="L25">
        <f t="shared" si="4"/>
        <v>0</v>
      </c>
      <c r="M25">
        <f t="shared" si="5"/>
        <v>0</v>
      </c>
      <c r="N25">
        <f t="shared" si="6"/>
        <v>0</v>
      </c>
      <c r="O25">
        <f t="shared" si="7"/>
        <v>0</v>
      </c>
      <c r="P25">
        <f t="shared" si="8"/>
        <v>0</v>
      </c>
      <c r="Q25">
        <f t="shared" si="9"/>
        <v>0</v>
      </c>
      <c r="R25">
        <f t="shared" si="10"/>
        <v>0</v>
      </c>
      <c r="S25">
        <f t="shared" si="11"/>
        <v>0</v>
      </c>
      <c r="T25">
        <f t="shared" si="12"/>
        <v>0</v>
      </c>
      <c r="U25">
        <f t="shared" si="13"/>
        <v>0</v>
      </c>
      <c r="V25">
        <f t="shared" si="14"/>
        <v>1</v>
      </c>
    </row>
    <row r="26" spans="1:22" x14ac:dyDescent="0.3">
      <c r="A26" t="s">
        <v>7</v>
      </c>
      <c r="B26">
        <v>2002</v>
      </c>
      <c r="C26">
        <v>1</v>
      </c>
      <c r="D26" t="str">
        <f t="shared" si="0"/>
        <v>2002-01</v>
      </c>
      <c r="E26" s="2">
        <f>IF(MOD(ROW()-2,2)=0, INDEX('[1]2310008001-eng'!$B$13:$B$288, (ROW()-2)/2+1), INDEX('[1]2310008001-eng'!$C$13:$C$288, (ROW()-2)/2+1))*1000</f>
        <v>632144000</v>
      </c>
      <c r="F26" s="2">
        <f>IF(MOD(ROW()-2,2)=0, INDEX('[2]1710000901-eng'!$B$12:$B$73, INT((ROW()-2)/6)+1), INDEX('[2]1710000901-eng'!$C$12:$C$73, INT((ROW()-2)/6)+1))</f>
        <v>7417456</v>
      </c>
      <c r="G26">
        <f t="shared" si="1"/>
        <v>85.223828762853458</v>
      </c>
      <c r="H26">
        <v>1</v>
      </c>
      <c r="I26">
        <v>0</v>
      </c>
      <c r="J26">
        <f t="shared" si="2"/>
        <v>0</v>
      </c>
      <c r="K26">
        <f t="shared" si="3"/>
        <v>1</v>
      </c>
      <c r="L26">
        <f t="shared" si="4"/>
        <v>0</v>
      </c>
      <c r="M26">
        <f t="shared" si="5"/>
        <v>0</v>
      </c>
      <c r="N26">
        <f t="shared" si="6"/>
        <v>0</v>
      </c>
      <c r="O26">
        <f t="shared" si="7"/>
        <v>0</v>
      </c>
      <c r="P26">
        <f t="shared" si="8"/>
        <v>0</v>
      </c>
      <c r="Q26">
        <f t="shared" si="9"/>
        <v>0</v>
      </c>
      <c r="R26">
        <f t="shared" si="10"/>
        <v>0</v>
      </c>
      <c r="S26">
        <f t="shared" si="11"/>
        <v>0</v>
      </c>
      <c r="T26">
        <f t="shared" si="12"/>
        <v>0</v>
      </c>
      <c r="U26">
        <f t="shared" si="13"/>
        <v>0</v>
      </c>
      <c r="V26">
        <f t="shared" si="14"/>
        <v>0</v>
      </c>
    </row>
    <row r="27" spans="1:22" x14ac:dyDescent="0.3">
      <c r="A27" t="s">
        <v>22</v>
      </c>
      <c r="B27">
        <v>2002</v>
      </c>
      <c r="C27">
        <v>1</v>
      </c>
      <c r="D27" t="str">
        <f t="shared" si="0"/>
        <v>2002-01</v>
      </c>
      <c r="E27" s="2">
        <f>IF(MOD(ROW()-2,2)=0, INDEX('[1]2310008001-eng'!$B$13:$B$288, (ROW()-2)/2+1), INDEX('[1]2310008001-eng'!$C$13:$C$288, (ROW()-2)/2+1))*1000</f>
        <v>1166474000</v>
      </c>
      <c r="F27" s="2">
        <f>IF(MOD(ROW()-2,2)=0, INDEX('[2]1710000901-eng'!$B$12:$B$73, INT((ROW()-2)/6)+1), INDEX('[2]1710000901-eng'!$C$12:$C$73, INT((ROW()-2)/6)+1))</f>
        <v>11979906</v>
      </c>
      <c r="G27">
        <f t="shared" si="1"/>
        <v>97.369211411174675</v>
      </c>
      <c r="H27">
        <v>0</v>
      </c>
      <c r="I27">
        <v>0</v>
      </c>
      <c r="J27">
        <f t="shared" si="2"/>
        <v>0</v>
      </c>
      <c r="K27">
        <f t="shared" si="3"/>
        <v>1</v>
      </c>
      <c r="L27">
        <f t="shared" si="4"/>
        <v>0</v>
      </c>
      <c r="M27">
        <f t="shared" si="5"/>
        <v>0</v>
      </c>
      <c r="N27">
        <f t="shared" si="6"/>
        <v>0</v>
      </c>
      <c r="O27">
        <f t="shared" si="7"/>
        <v>0</v>
      </c>
      <c r="P27">
        <f t="shared" si="8"/>
        <v>0</v>
      </c>
      <c r="Q27">
        <f t="shared" si="9"/>
        <v>0</v>
      </c>
      <c r="R27">
        <f t="shared" si="10"/>
        <v>0</v>
      </c>
      <c r="S27">
        <f t="shared" si="11"/>
        <v>0</v>
      </c>
      <c r="T27">
        <f t="shared" si="12"/>
        <v>0</v>
      </c>
      <c r="U27">
        <f t="shared" si="13"/>
        <v>0</v>
      </c>
      <c r="V27">
        <f t="shared" si="14"/>
        <v>0</v>
      </c>
    </row>
    <row r="28" spans="1:22" x14ac:dyDescent="0.3">
      <c r="A28" t="s">
        <v>7</v>
      </c>
      <c r="B28">
        <v>2002</v>
      </c>
      <c r="C28">
        <v>2</v>
      </c>
      <c r="D28" t="str">
        <f t="shared" si="0"/>
        <v>2002-02</v>
      </c>
      <c r="E28" s="2">
        <f>IF(MOD(ROW()-2,2)=0, INDEX('[1]2310008001-eng'!$B$13:$B$288, (ROW()-2)/2+1), INDEX('[1]2310008001-eng'!$C$13:$C$288, (ROW()-2)/2+1))*1000</f>
        <v>598642000</v>
      </c>
      <c r="F28" s="2">
        <f>IF(MOD(ROW()-2,2)=0, INDEX('[2]1710000901-eng'!$B$12:$B$73, INT((ROW()-2)/6)+1), INDEX('[2]1710000901-eng'!$C$12:$C$73, INT((ROW()-2)/6)+1))</f>
        <v>7417456</v>
      </c>
      <c r="G28">
        <f t="shared" si="1"/>
        <v>80.707185859949831</v>
      </c>
      <c r="H28">
        <v>1</v>
      </c>
      <c r="I28">
        <v>0</v>
      </c>
      <c r="J28">
        <f t="shared" si="2"/>
        <v>0</v>
      </c>
      <c r="K28">
        <f t="shared" si="3"/>
        <v>0</v>
      </c>
      <c r="L28">
        <f t="shared" si="4"/>
        <v>1</v>
      </c>
      <c r="M28">
        <f t="shared" si="5"/>
        <v>0</v>
      </c>
      <c r="N28">
        <f t="shared" si="6"/>
        <v>0</v>
      </c>
      <c r="O28">
        <f t="shared" si="7"/>
        <v>0</v>
      </c>
      <c r="P28">
        <f t="shared" si="8"/>
        <v>0</v>
      </c>
      <c r="Q28">
        <f t="shared" si="9"/>
        <v>0</v>
      </c>
      <c r="R28">
        <f t="shared" si="10"/>
        <v>0</v>
      </c>
      <c r="S28">
        <f t="shared" si="11"/>
        <v>0</v>
      </c>
      <c r="T28">
        <f t="shared" si="12"/>
        <v>0</v>
      </c>
      <c r="U28">
        <f t="shared" si="13"/>
        <v>0</v>
      </c>
      <c r="V28">
        <f t="shared" si="14"/>
        <v>0</v>
      </c>
    </row>
    <row r="29" spans="1:22" x14ac:dyDescent="0.3">
      <c r="A29" t="s">
        <v>22</v>
      </c>
      <c r="B29">
        <v>2002</v>
      </c>
      <c r="C29">
        <v>2</v>
      </c>
      <c r="D29" t="str">
        <f t="shared" si="0"/>
        <v>2002-02</v>
      </c>
      <c r="E29" s="2">
        <f>IF(MOD(ROW()-2,2)=0, INDEX('[1]2310008001-eng'!$B$13:$B$288, (ROW()-2)/2+1), INDEX('[1]2310008001-eng'!$C$13:$C$288, (ROW()-2)/2+1))*1000</f>
        <v>1087808000</v>
      </c>
      <c r="F29" s="2">
        <f>IF(MOD(ROW()-2,2)=0, INDEX('[2]1710000901-eng'!$B$12:$B$73, INT((ROW()-2)/6)+1), INDEX('[2]1710000901-eng'!$C$12:$C$73, INT((ROW()-2)/6)+1))</f>
        <v>11979906</v>
      </c>
      <c r="G29">
        <f t="shared" si="1"/>
        <v>90.802715814297713</v>
      </c>
      <c r="H29">
        <v>0</v>
      </c>
      <c r="I29">
        <v>0</v>
      </c>
      <c r="J29">
        <f t="shared" si="2"/>
        <v>0</v>
      </c>
      <c r="K29">
        <f t="shared" si="3"/>
        <v>0</v>
      </c>
      <c r="L29">
        <f t="shared" si="4"/>
        <v>1</v>
      </c>
      <c r="M29">
        <f t="shared" si="5"/>
        <v>0</v>
      </c>
      <c r="N29">
        <f t="shared" si="6"/>
        <v>0</v>
      </c>
      <c r="O29">
        <f t="shared" si="7"/>
        <v>0</v>
      </c>
      <c r="P29">
        <f t="shared" si="8"/>
        <v>0</v>
      </c>
      <c r="Q29">
        <f t="shared" si="9"/>
        <v>0</v>
      </c>
      <c r="R29">
        <f t="shared" si="10"/>
        <v>0</v>
      </c>
      <c r="S29">
        <f t="shared" si="11"/>
        <v>0</v>
      </c>
      <c r="T29">
        <f t="shared" si="12"/>
        <v>0</v>
      </c>
      <c r="U29">
        <f t="shared" si="13"/>
        <v>0</v>
      </c>
      <c r="V29">
        <f t="shared" si="14"/>
        <v>0</v>
      </c>
    </row>
    <row r="30" spans="1:22" x14ac:dyDescent="0.3">
      <c r="A30" t="s">
        <v>7</v>
      </c>
      <c r="B30">
        <v>2002</v>
      </c>
      <c r="C30">
        <v>3</v>
      </c>
      <c r="D30" t="str">
        <f t="shared" si="0"/>
        <v>2002-03</v>
      </c>
      <c r="E30" s="2">
        <f>IF(MOD(ROW()-2,2)=0, INDEX('[1]2310008001-eng'!$B$13:$B$288, (ROW()-2)/2+1), INDEX('[1]2310008001-eng'!$C$13:$C$288, (ROW()-2)/2+1))*1000</f>
        <v>648118000</v>
      </c>
      <c r="F30" s="2">
        <f>IF(MOD(ROW()-2,2)=0, INDEX('[2]1710000901-eng'!$B$12:$B$73, INT((ROW()-2)/6)+1), INDEX('[2]1710000901-eng'!$C$12:$C$73, INT((ROW()-2)/6)+1))</f>
        <v>7417456</v>
      </c>
      <c r="G30">
        <f t="shared" si="1"/>
        <v>87.377397317894435</v>
      </c>
      <c r="H30">
        <v>1</v>
      </c>
      <c r="I30">
        <v>0</v>
      </c>
      <c r="J30">
        <f t="shared" si="2"/>
        <v>0</v>
      </c>
      <c r="K30">
        <f t="shared" si="3"/>
        <v>0</v>
      </c>
      <c r="L30">
        <f t="shared" si="4"/>
        <v>0</v>
      </c>
      <c r="M30">
        <f t="shared" si="5"/>
        <v>1</v>
      </c>
      <c r="N30">
        <f t="shared" si="6"/>
        <v>0</v>
      </c>
      <c r="O30">
        <f t="shared" si="7"/>
        <v>0</v>
      </c>
      <c r="P30">
        <f t="shared" si="8"/>
        <v>0</v>
      </c>
      <c r="Q30">
        <f t="shared" si="9"/>
        <v>0</v>
      </c>
      <c r="R30">
        <f t="shared" si="10"/>
        <v>0</v>
      </c>
      <c r="S30">
        <f t="shared" si="11"/>
        <v>0</v>
      </c>
      <c r="T30">
        <f t="shared" si="12"/>
        <v>0</v>
      </c>
      <c r="U30">
        <f t="shared" si="13"/>
        <v>0</v>
      </c>
      <c r="V30">
        <f t="shared" si="14"/>
        <v>0</v>
      </c>
    </row>
    <row r="31" spans="1:22" x14ac:dyDescent="0.3">
      <c r="A31" t="s">
        <v>22</v>
      </c>
      <c r="B31">
        <v>2002</v>
      </c>
      <c r="C31">
        <v>3</v>
      </c>
      <c r="D31" t="str">
        <f t="shared" si="0"/>
        <v>2002-03</v>
      </c>
      <c r="E31" s="2">
        <f>IF(MOD(ROW()-2,2)=0, INDEX('[1]2310008001-eng'!$B$13:$B$288, (ROW()-2)/2+1), INDEX('[1]2310008001-eng'!$C$13:$C$288, (ROW()-2)/2+1))*1000</f>
        <v>1180251000</v>
      </c>
      <c r="F31" s="2">
        <f>IF(MOD(ROW()-2,2)=0, INDEX('[2]1710000901-eng'!$B$12:$B$73, INT((ROW()-2)/6)+1), INDEX('[2]1710000901-eng'!$C$12:$C$73, INT((ROW()-2)/6)+1))</f>
        <v>11979906</v>
      </c>
      <c r="G31">
        <f t="shared" si="1"/>
        <v>98.519220434617765</v>
      </c>
      <c r="H31">
        <v>0</v>
      </c>
      <c r="I31">
        <v>0</v>
      </c>
      <c r="J31">
        <f t="shared" si="2"/>
        <v>0</v>
      </c>
      <c r="K31">
        <f t="shared" si="3"/>
        <v>0</v>
      </c>
      <c r="L31">
        <f t="shared" si="4"/>
        <v>0</v>
      </c>
      <c r="M31">
        <f t="shared" si="5"/>
        <v>1</v>
      </c>
      <c r="N31">
        <f t="shared" si="6"/>
        <v>0</v>
      </c>
      <c r="O31">
        <f t="shared" si="7"/>
        <v>0</v>
      </c>
      <c r="P31">
        <f t="shared" si="8"/>
        <v>0</v>
      </c>
      <c r="Q31">
        <f t="shared" si="9"/>
        <v>0</v>
      </c>
      <c r="R31">
        <f t="shared" si="10"/>
        <v>0</v>
      </c>
      <c r="S31">
        <f t="shared" si="11"/>
        <v>0</v>
      </c>
      <c r="T31">
        <f t="shared" si="12"/>
        <v>0</v>
      </c>
      <c r="U31">
        <f t="shared" si="13"/>
        <v>0</v>
      </c>
      <c r="V31">
        <f t="shared" si="14"/>
        <v>0</v>
      </c>
    </row>
    <row r="32" spans="1:22" x14ac:dyDescent="0.3">
      <c r="A32" t="s">
        <v>7</v>
      </c>
      <c r="B32">
        <v>2002</v>
      </c>
      <c r="C32">
        <v>4</v>
      </c>
      <c r="D32" t="str">
        <f t="shared" si="0"/>
        <v>2002-04</v>
      </c>
      <c r="E32" s="2">
        <f>IF(MOD(ROW()-2,2)=0, INDEX('[1]2310008001-eng'!$B$13:$B$288, (ROW()-2)/2+1), INDEX('[1]2310008001-eng'!$C$13:$C$288, (ROW()-2)/2+1))*1000</f>
        <v>607918000</v>
      </c>
      <c r="F32" s="2">
        <f>IF(MOD(ROW()-2,2)=0, INDEX('[2]1710000901-eng'!$B$12:$B$73, INT((ROW()-2)/6)+1), INDEX('[2]1710000901-eng'!$C$12:$C$73, INT((ROW()-2)/6)+1))</f>
        <v>7427639</v>
      </c>
      <c r="G32">
        <f t="shared" si="1"/>
        <v>81.845388554828801</v>
      </c>
      <c r="H32">
        <v>1</v>
      </c>
      <c r="I32">
        <v>0</v>
      </c>
      <c r="J32">
        <f t="shared" si="2"/>
        <v>0</v>
      </c>
      <c r="K32">
        <f t="shared" si="3"/>
        <v>0</v>
      </c>
      <c r="L32">
        <f t="shared" si="4"/>
        <v>0</v>
      </c>
      <c r="M32">
        <f t="shared" si="5"/>
        <v>0</v>
      </c>
      <c r="N32">
        <f t="shared" si="6"/>
        <v>1</v>
      </c>
      <c r="O32">
        <f t="shared" si="7"/>
        <v>0</v>
      </c>
      <c r="P32">
        <f t="shared" si="8"/>
        <v>0</v>
      </c>
      <c r="Q32">
        <f t="shared" si="9"/>
        <v>0</v>
      </c>
      <c r="R32">
        <f t="shared" si="10"/>
        <v>0</v>
      </c>
      <c r="S32">
        <f t="shared" si="11"/>
        <v>0</v>
      </c>
      <c r="T32">
        <f t="shared" si="12"/>
        <v>0</v>
      </c>
      <c r="U32">
        <f t="shared" si="13"/>
        <v>0</v>
      </c>
      <c r="V32">
        <f t="shared" si="14"/>
        <v>0</v>
      </c>
    </row>
    <row r="33" spans="1:22" x14ac:dyDescent="0.3">
      <c r="A33" t="s">
        <v>22</v>
      </c>
      <c r="B33">
        <v>2002</v>
      </c>
      <c r="C33">
        <v>4</v>
      </c>
      <c r="D33" t="str">
        <f t="shared" si="0"/>
        <v>2002-04</v>
      </c>
      <c r="E33" s="2">
        <f>IF(MOD(ROW()-2,2)=0, INDEX('[1]2310008001-eng'!$B$13:$B$288, (ROW()-2)/2+1), INDEX('[1]2310008001-eng'!$C$13:$C$288, (ROW()-2)/2+1))*1000</f>
        <v>1211225000</v>
      </c>
      <c r="F33" s="2">
        <f>IF(MOD(ROW()-2,2)=0, INDEX('[2]1710000901-eng'!$B$12:$B$73, INT((ROW()-2)/6)+1), INDEX('[2]1710000901-eng'!$C$12:$C$73, INT((ROW()-2)/6)+1))</f>
        <v>12029818</v>
      </c>
      <c r="G33">
        <f t="shared" si="1"/>
        <v>100.68523064937474</v>
      </c>
      <c r="H33">
        <v>0</v>
      </c>
      <c r="I33">
        <v>0</v>
      </c>
      <c r="J33">
        <f t="shared" si="2"/>
        <v>0</v>
      </c>
      <c r="K33">
        <f t="shared" si="3"/>
        <v>0</v>
      </c>
      <c r="L33">
        <f t="shared" si="4"/>
        <v>0</v>
      </c>
      <c r="M33">
        <f t="shared" si="5"/>
        <v>0</v>
      </c>
      <c r="N33">
        <f t="shared" si="6"/>
        <v>1</v>
      </c>
      <c r="O33">
        <f t="shared" si="7"/>
        <v>0</v>
      </c>
      <c r="P33">
        <f t="shared" si="8"/>
        <v>0</v>
      </c>
      <c r="Q33">
        <f t="shared" si="9"/>
        <v>0</v>
      </c>
      <c r="R33">
        <f t="shared" si="10"/>
        <v>0</v>
      </c>
      <c r="S33">
        <f t="shared" si="11"/>
        <v>0</v>
      </c>
      <c r="T33">
        <f t="shared" si="12"/>
        <v>0</v>
      </c>
      <c r="U33">
        <f t="shared" si="13"/>
        <v>0</v>
      </c>
      <c r="V33">
        <f t="shared" si="14"/>
        <v>0</v>
      </c>
    </row>
    <row r="34" spans="1:22" x14ac:dyDescent="0.3">
      <c r="A34" t="s">
        <v>7</v>
      </c>
      <c r="B34">
        <v>2002</v>
      </c>
      <c r="C34">
        <v>5</v>
      </c>
      <c r="D34" t="str">
        <f t="shared" si="0"/>
        <v>2002-05</v>
      </c>
      <c r="E34" s="2">
        <f>IF(MOD(ROW()-2,2)=0, INDEX('[1]2310008001-eng'!$B$13:$B$288, (ROW()-2)/2+1), INDEX('[1]2310008001-eng'!$C$13:$C$288, (ROW()-2)/2+1))*1000</f>
        <v>696929000</v>
      </c>
      <c r="F34" s="2">
        <f>IF(MOD(ROW()-2,2)=0, INDEX('[2]1710000901-eng'!$B$12:$B$73, INT((ROW()-2)/6)+1), INDEX('[2]1710000901-eng'!$C$12:$C$73, INT((ROW()-2)/6)+1))</f>
        <v>7427639</v>
      </c>
      <c r="G34">
        <f t="shared" si="1"/>
        <v>93.829142746436659</v>
      </c>
      <c r="H34">
        <v>1</v>
      </c>
      <c r="I34">
        <v>0</v>
      </c>
      <c r="J34">
        <f t="shared" si="2"/>
        <v>0</v>
      </c>
      <c r="K34">
        <f t="shared" si="3"/>
        <v>0</v>
      </c>
      <c r="L34">
        <f t="shared" si="4"/>
        <v>0</v>
      </c>
      <c r="M34">
        <f t="shared" si="5"/>
        <v>0</v>
      </c>
      <c r="N34">
        <f t="shared" si="6"/>
        <v>0</v>
      </c>
      <c r="O34">
        <f t="shared" si="7"/>
        <v>1</v>
      </c>
      <c r="P34">
        <f t="shared" si="8"/>
        <v>0</v>
      </c>
      <c r="Q34">
        <f t="shared" si="9"/>
        <v>0</v>
      </c>
      <c r="R34">
        <f t="shared" si="10"/>
        <v>0</v>
      </c>
      <c r="S34">
        <f t="shared" si="11"/>
        <v>0</v>
      </c>
      <c r="T34">
        <f t="shared" si="12"/>
        <v>0</v>
      </c>
      <c r="U34">
        <f t="shared" si="13"/>
        <v>0</v>
      </c>
      <c r="V34">
        <f t="shared" si="14"/>
        <v>0</v>
      </c>
    </row>
    <row r="35" spans="1:22" x14ac:dyDescent="0.3">
      <c r="A35" t="s">
        <v>22</v>
      </c>
      <c r="B35">
        <v>2002</v>
      </c>
      <c r="C35">
        <v>5</v>
      </c>
      <c r="D35" t="str">
        <f t="shared" si="0"/>
        <v>2002-05</v>
      </c>
      <c r="E35" s="2">
        <f>IF(MOD(ROW()-2,2)=0, INDEX('[1]2310008001-eng'!$B$13:$B$288, (ROW()-2)/2+1), INDEX('[1]2310008001-eng'!$C$13:$C$288, (ROW()-2)/2+1))*1000</f>
        <v>1303708000</v>
      </c>
      <c r="F35" s="2">
        <f>IF(MOD(ROW()-2,2)=0, INDEX('[2]1710000901-eng'!$B$12:$B$73, INT((ROW()-2)/6)+1), INDEX('[2]1710000901-eng'!$C$12:$C$73, INT((ROW()-2)/6)+1))</f>
        <v>12029818</v>
      </c>
      <c r="G35">
        <f t="shared" si="1"/>
        <v>108.37304438022254</v>
      </c>
      <c r="H35">
        <v>0</v>
      </c>
      <c r="I35">
        <v>0</v>
      </c>
      <c r="J35">
        <f t="shared" si="2"/>
        <v>0</v>
      </c>
      <c r="K35">
        <f t="shared" si="3"/>
        <v>0</v>
      </c>
      <c r="L35">
        <f t="shared" si="4"/>
        <v>0</v>
      </c>
      <c r="M35">
        <f t="shared" si="5"/>
        <v>0</v>
      </c>
      <c r="N35">
        <f t="shared" si="6"/>
        <v>0</v>
      </c>
      <c r="O35">
        <f t="shared" si="7"/>
        <v>1</v>
      </c>
      <c r="P35">
        <f t="shared" si="8"/>
        <v>0</v>
      </c>
      <c r="Q35">
        <f t="shared" si="9"/>
        <v>0</v>
      </c>
      <c r="R35">
        <f t="shared" si="10"/>
        <v>0</v>
      </c>
      <c r="S35">
        <f t="shared" si="11"/>
        <v>0</v>
      </c>
      <c r="T35">
        <f t="shared" si="12"/>
        <v>0</v>
      </c>
      <c r="U35">
        <f t="shared" si="13"/>
        <v>0</v>
      </c>
      <c r="V35">
        <f t="shared" si="14"/>
        <v>0</v>
      </c>
    </row>
    <row r="36" spans="1:22" x14ac:dyDescent="0.3">
      <c r="A36" t="s">
        <v>7</v>
      </c>
      <c r="B36">
        <v>2002</v>
      </c>
      <c r="C36">
        <v>6</v>
      </c>
      <c r="D36" t="str">
        <f t="shared" si="0"/>
        <v>2002-06</v>
      </c>
      <c r="E36" s="2">
        <f>IF(MOD(ROW()-2,2)=0, INDEX('[1]2310008001-eng'!$B$13:$B$288, (ROW()-2)/2+1), INDEX('[1]2310008001-eng'!$C$13:$C$288, (ROW()-2)/2+1))*1000</f>
        <v>596538000</v>
      </c>
      <c r="F36" s="2">
        <f>IF(MOD(ROW()-2,2)=0, INDEX('[2]1710000901-eng'!$B$12:$B$73, INT((ROW()-2)/6)+1), INDEX('[2]1710000901-eng'!$C$12:$C$73, INT((ROW()-2)/6)+1))</f>
        <v>7427639</v>
      </c>
      <c r="G36">
        <f t="shared" si="1"/>
        <v>80.313273167960915</v>
      </c>
      <c r="H36">
        <v>1</v>
      </c>
      <c r="I36">
        <v>0</v>
      </c>
      <c r="J36">
        <f t="shared" si="2"/>
        <v>0</v>
      </c>
      <c r="K36">
        <f t="shared" si="3"/>
        <v>0</v>
      </c>
      <c r="L36">
        <f t="shared" si="4"/>
        <v>0</v>
      </c>
      <c r="M36">
        <f t="shared" si="5"/>
        <v>0</v>
      </c>
      <c r="N36">
        <f t="shared" si="6"/>
        <v>0</v>
      </c>
      <c r="O36">
        <f t="shared" si="7"/>
        <v>0</v>
      </c>
      <c r="P36">
        <f t="shared" si="8"/>
        <v>1</v>
      </c>
      <c r="Q36">
        <f t="shared" si="9"/>
        <v>0</v>
      </c>
      <c r="R36">
        <f t="shared" si="10"/>
        <v>0</v>
      </c>
      <c r="S36">
        <f t="shared" si="11"/>
        <v>0</v>
      </c>
      <c r="T36">
        <f t="shared" si="12"/>
        <v>0</v>
      </c>
      <c r="U36">
        <f t="shared" si="13"/>
        <v>0</v>
      </c>
      <c r="V36">
        <f t="shared" si="14"/>
        <v>0</v>
      </c>
    </row>
    <row r="37" spans="1:22" x14ac:dyDescent="0.3">
      <c r="A37" t="s">
        <v>22</v>
      </c>
      <c r="B37">
        <v>2002</v>
      </c>
      <c r="C37">
        <v>6</v>
      </c>
      <c r="D37" t="str">
        <f t="shared" si="0"/>
        <v>2002-06</v>
      </c>
      <c r="E37" s="2">
        <f>IF(MOD(ROW()-2,2)=0, INDEX('[1]2310008001-eng'!$B$13:$B$288, (ROW()-2)/2+1), INDEX('[1]2310008001-eng'!$C$13:$C$288, (ROW()-2)/2+1))*1000</f>
        <v>1251454000</v>
      </c>
      <c r="F37" s="2">
        <f>IF(MOD(ROW()-2,2)=0, INDEX('[2]1710000901-eng'!$B$12:$B$73, INT((ROW()-2)/6)+1), INDEX('[2]1710000901-eng'!$C$12:$C$73, INT((ROW()-2)/6)+1))</f>
        <v>12029818</v>
      </c>
      <c r="G37">
        <f t="shared" si="1"/>
        <v>104.02933776720479</v>
      </c>
      <c r="H37">
        <v>0</v>
      </c>
      <c r="I37">
        <v>0</v>
      </c>
      <c r="J37">
        <f t="shared" si="2"/>
        <v>0</v>
      </c>
      <c r="K37">
        <f t="shared" si="3"/>
        <v>0</v>
      </c>
      <c r="L37">
        <f t="shared" si="4"/>
        <v>0</v>
      </c>
      <c r="M37">
        <f t="shared" si="5"/>
        <v>0</v>
      </c>
      <c r="N37">
        <f t="shared" si="6"/>
        <v>0</v>
      </c>
      <c r="O37">
        <f t="shared" si="7"/>
        <v>0</v>
      </c>
      <c r="P37">
        <f t="shared" si="8"/>
        <v>1</v>
      </c>
      <c r="Q37">
        <f t="shared" si="9"/>
        <v>0</v>
      </c>
      <c r="R37">
        <f t="shared" si="10"/>
        <v>0</v>
      </c>
      <c r="S37">
        <f t="shared" si="11"/>
        <v>0</v>
      </c>
      <c r="T37">
        <f t="shared" si="12"/>
        <v>0</v>
      </c>
      <c r="U37">
        <f t="shared" si="13"/>
        <v>0</v>
      </c>
      <c r="V37">
        <f t="shared" si="14"/>
        <v>0</v>
      </c>
    </row>
    <row r="38" spans="1:22" x14ac:dyDescent="0.3">
      <c r="A38" t="s">
        <v>7</v>
      </c>
      <c r="B38">
        <v>2002</v>
      </c>
      <c r="C38">
        <v>7</v>
      </c>
      <c r="D38" t="str">
        <f t="shared" si="0"/>
        <v>2002-07</v>
      </c>
      <c r="E38" s="2">
        <f>IF(MOD(ROW()-2,2)=0, INDEX('[1]2310008001-eng'!$B$13:$B$288, (ROW()-2)/2+1), INDEX('[1]2310008001-eng'!$C$13:$C$288, (ROW()-2)/2+1))*1000</f>
        <v>724116000</v>
      </c>
      <c r="F38" s="2">
        <f>IF(MOD(ROW()-2,2)=0, INDEX('[2]1710000901-eng'!$B$12:$B$73, INT((ROW()-2)/6)+1), INDEX('[2]1710000901-eng'!$C$12:$C$73, INT((ROW()-2)/6)+1))</f>
        <v>7441305</v>
      </c>
      <c r="G38">
        <f t="shared" si="1"/>
        <v>97.31035080540309</v>
      </c>
      <c r="H38">
        <v>1</v>
      </c>
      <c r="I38">
        <v>0</v>
      </c>
      <c r="J38">
        <f t="shared" si="2"/>
        <v>0</v>
      </c>
      <c r="K38">
        <f t="shared" si="3"/>
        <v>0</v>
      </c>
      <c r="L38">
        <f t="shared" si="4"/>
        <v>0</v>
      </c>
      <c r="M38">
        <f t="shared" si="5"/>
        <v>0</v>
      </c>
      <c r="N38">
        <f t="shared" si="6"/>
        <v>0</v>
      </c>
      <c r="O38">
        <f t="shared" si="7"/>
        <v>0</v>
      </c>
      <c r="P38">
        <f t="shared" si="8"/>
        <v>0</v>
      </c>
      <c r="Q38">
        <f t="shared" si="9"/>
        <v>1</v>
      </c>
      <c r="R38">
        <f t="shared" si="10"/>
        <v>0</v>
      </c>
      <c r="S38">
        <f t="shared" si="11"/>
        <v>0</v>
      </c>
      <c r="T38">
        <f t="shared" si="12"/>
        <v>0</v>
      </c>
      <c r="U38">
        <f t="shared" si="13"/>
        <v>0</v>
      </c>
      <c r="V38">
        <f t="shared" si="14"/>
        <v>0</v>
      </c>
    </row>
    <row r="39" spans="1:22" x14ac:dyDescent="0.3">
      <c r="A39" t="s">
        <v>22</v>
      </c>
      <c r="B39">
        <v>2002</v>
      </c>
      <c r="C39">
        <v>7</v>
      </c>
      <c r="D39" t="str">
        <f t="shared" si="0"/>
        <v>2002-07</v>
      </c>
      <c r="E39" s="2">
        <f>IF(MOD(ROW()-2,2)=0, INDEX('[1]2310008001-eng'!$B$13:$B$288, (ROW()-2)/2+1), INDEX('[1]2310008001-eng'!$C$13:$C$288, (ROW()-2)/2+1))*1000</f>
        <v>1360657000</v>
      </c>
      <c r="F39" s="2">
        <f>IF(MOD(ROW()-2,2)=0, INDEX('[2]1710000901-eng'!$B$12:$B$73, INT((ROW()-2)/6)+1), INDEX('[2]1710000901-eng'!$C$12:$C$73, INT((ROW()-2)/6)+1))</f>
        <v>12093412</v>
      </c>
      <c r="G39">
        <f t="shared" si="1"/>
        <v>112.51225047157907</v>
      </c>
      <c r="H39">
        <v>0</v>
      </c>
      <c r="I39">
        <v>0</v>
      </c>
      <c r="J39">
        <f t="shared" si="2"/>
        <v>0</v>
      </c>
      <c r="K39">
        <f t="shared" si="3"/>
        <v>0</v>
      </c>
      <c r="L39">
        <f t="shared" si="4"/>
        <v>0</v>
      </c>
      <c r="M39">
        <f t="shared" si="5"/>
        <v>0</v>
      </c>
      <c r="N39">
        <f t="shared" si="6"/>
        <v>0</v>
      </c>
      <c r="O39">
        <f t="shared" si="7"/>
        <v>0</v>
      </c>
      <c r="P39">
        <f t="shared" si="8"/>
        <v>0</v>
      </c>
      <c r="Q39">
        <f t="shared" si="9"/>
        <v>1</v>
      </c>
      <c r="R39">
        <f t="shared" si="10"/>
        <v>0</v>
      </c>
      <c r="S39">
        <f t="shared" si="11"/>
        <v>0</v>
      </c>
      <c r="T39">
        <f t="shared" si="12"/>
        <v>0</v>
      </c>
      <c r="U39">
        <f t="shared" si="13"/>
        <v>0</v>
      </c>
      <c r="V39">
        <f t="shared" si="14"/>
        <v>0</v>
      </c>
    </row>
    <row r="40" spans="1:22" x14ac:dyDescent="0.3">
      <c r="A40" t="s">
        <v>7</v>
      </c>
      <c r="B40">
        <v>2002</v>
      </c>
      <c r="C40">
        <v>8</v>
      </c>
      <c r="D40" t="str">
        <f t="shared" si="0"/>
        <v>2002-08</v>
      </c>
      <c r="E40" s="2">
        <f>IF(MOD(ROW()-2,2)=0, INDEX('[1]2310008001-eng'!$B$13:$B$288, (ROW()-2)/2+1), INDEX('[1]2310008001-eng'!$C$13:$C$288, (ROW()-2)/2+1))*1000</f>
        <v>741624000</v>
      </c>
      <c r="F40" s="2">
        <f>IF(MOD(ROW()-2,2)=0, INDEX('[2]1710000901-eng'!$B$12:$B$73, INT((ROW()-2)/6)+1), INDEX('[2]1710000901-eng'!$C$12:$C$73, INT((ROW()-2)/6)+1))</f>
        <v>7441305</v>
      </c>
      <c r="G40">
        <f t="shared" si="1"/>
        <v>99.663163920844525</v>
      </c>
      <c r="H40">
        <v>1</v>
      </c>
      <c r="I40">
        <v>0</v>
      </c>
      <c r="J40">
        <f t="shared" si="2"/>
        <v>0</v>
      </c>
      <c r="K40">
        <f t="shared" si="3"/>
        <v>0</v>
      </c>
      <c r="L40">
        <f t="shared" si="4"/>
        <v>0</v>
      </c>
      <c r="M40">
        <f t="shared" si="5"/>
        <v>0</v>
      </c>
      <c r="N40">
        <f t="shared" si="6"/>
        <v>0</v>
      </c>
      <c r="O40">
        <f t="shared" si="7"/>
        <v>0</v>
      </c>
      <c r="P40">
        <f t="shared" si="8"/>
        <v>0</v>
      </c>
      <c r="Q40">
        <f t="shared" si="9"/>
        <v>0</v>
      </c>
      <c r="R40">
        <f t="shared" si="10"/>
        <v>1</v>
      </c>
      <c r="S40">
        <f t="shared" si="11"/>
        <v>0</v>
      </c>
      <c r="T40">
        <f t="shared" si="12"/>
        <v>0</v>
      </c>
      <c r="U40">
        <f t="shared" si="13"/>
        <v>0</v>
      </c>
      <c r="V40">
        <f t="shared" si="14"/>
        <v>0</v>
      </c>
    </row>
    <row r="41" spans="1:22" x14ac:dyDescent="0.3">
      <c r="A41" t="s">
        <v>22</v>
      </c>
      <c r="B41">
        <v>2002</v>
      </c>
      <c r="C41">
        <v>8</v>
      </c>
      <c r="D41" t="str">
        <f t="shared" si="0"/>
        <v>2002-08</v>
      </c>
      <c r="E41" s="2">
        <f>IF(MOD(ROW()-2,2)=0, INDEX('[1]2310008001-eng'!$B$13:$B$288, (ROW()-2)/2+1), INDEX('[1]2310008001-eng'!$C$13:$C$288, (ROW()-2)/2+1))*1000</f>
        <v>1367343000</v>
      </c>
      <c r="F41" s="2">
        <f>IF(MOD(ROW()-2,2)=0, INDEX('[2]1710000901-eng'!$B$12:$B$73, INT((ROW()-2)/6)+1), INDEX('[2]1710000901-eng'!$C$12:$C$73, INT((ROW()-2)/6)+1))</f>
        <v>12093412</v>
      </c>
      <c r="G41">
        <f t="shared" si="1"/>
        <v>113.06511346839089</v>
      </c>
      <c r="H41">
        <v>0</v>
      </c>
      <c r="I41">
        <v>0</v>
      </c>
      <c r="J41">
        <f t="shared" si="2"/>
        <v>0</v>
      </c>
      <c r="K41">
        <f t="shared" si="3"/>
        <v>0</v>
      </c>
      <c r="L41">
        <f t="shared" si="4"/>
        <v>0</v>
      </c>
      <c r="M41">
        <f t="shared" si="5"/>
        <v>0</v>
      </c>
      <c r="N41">
        <f t="shared" si="6"/>
        <v>0</v>
      </c>
      <c r="O41">
        <f t="shared" si="7"/>
        <v>0</v>
      </c>
      <c r="P41">
        <f t="shared" si="8"/>
        <v>0</v>
      </c>
      <c r="Q41">
        <f t="shared" si="9"/>
        <v>0</v>
      </c>
      <c r="R41">
        <f t="shared" si="10"/>
        <v>1</v>
      </c>
      <c r="S41">
        <f t="shared" si="11"/>
        <v>0</v>
      </c>
      <c r="T41">
        <f t="shared" si="12"/>
        <v>0</v>
      </c>
      <c r="U41">
        <f t="shared" si="13"/>
        <v>0</v>
      </c>
      <c r="V41">
        <f t="shared" si="14"/>
        <v>0</v>
      </c>
    </row>
    <row r="42" spans="1:22" x14ac:dyDescent="0.3">
      <c r="A42" t="s">
        <v>7</v>
      </c>
      <c r="B42">
        <v>2002</v>
      </c>
      <c r="C42">
        <v>9</v>
      </c>
      <c r="D42" t="str">
        <f t="shared" si="0"/>
        <v>2002-09</v>
      </c>
      <c r="E42" s="2">
        <f>IF(MOD(ROW()-2,2)=0, INDEX('[1]2310008001-eng'!$B$13:$B$288, (ROW()-2)/2+1), INDEX('[1]2310008001-eng'!$C$13:$C$288, (ROW()-2)/2+1))*1000</f>
        <v>644619000</v>
      </c>
      <c r="F42" s="2">
        <f>IF(MOD(ROW()-2,2)=0, INDEX('[2]1710000901-eng'!$B$12:$B$73, INT((ROW()-2)/6)+1), INDEX('[2]1710000901-eng'!$C$12:$C$73, INT((ROW()-2)/6)+1))</f>
        <v>7441305</v>
      </c>
      <c r="G42">
        <f t="shared" si="1"/>
        <v>86.6271440291723</v>
      </c>
      <c r="H42">
        <v>1</v>
      </c>
      <c r="I42">
        <v>0</v>
      </c>
      <c r="J42">
        <f t="shared" si="2"/>
        <v>0</v>
      </c>
      <c r="K42">
        <f t="shared" si="3"/>
        <v>0</v>
      </c>
      <c r="L42">
        <f t="shared" si="4"/>
        <v>0</v>
      </c>
      <c r="M42">
        <f t="shared" si="5"/>
        <v>0</v>
      </c>
      <c r="N42">
        <f t="shared" si="6"/>
        <v>0</v>
      </c>
      <c r="O42">
        <f t="shared" si="7"/>
        <v>0</v>
      </c>
      <c r="P42">
        <f t="shared" si="8"/>
        <v>0</v>
      </c>
      <c r="Q42">
        <f t="shared" si="9"/>
        <v>0</v>
      </c>
      <c r="R42">
        <f t="shared" si="10"/>
        <v>0</v>
      </c>
      <c r="S42">
        <f t="shared" si="11"/>
        <v>1</v>
      </c>
      <c r="T42">
        <f t="shared" si="12"/>
        <v>0</v>
      </c>
      <c r="U42">
        <f t="shared" si="13"/>
        <v>0</v>
      </c>
      <c r="V42">
        <f t="shared" si="14"/>
        <v>0</v>
      </c>
    </row>
    <row r="43" spans="1:22" x14ac:dyDescent="0.3">
      <c r="A43" t="s">
        <v>22</v>
      </c>
      <c r="B43">
        <v>2002</v>
      </c>
      <c r="C43">
        <v>9</v>
      </c>
      <c r="D43" t="str">
        <f t="shared" si="0"/>
        <v>2002-09</v>
      </c>
      <c r="E43" s="2">
        <f>IF(MOD(ROW()-2,2)=0, INDEX('[1]2310008001-eng'!$B$13:$B$288, (ROW()-2)/2+1), INDEX('[1]2310008001-eng'!$C$13:$C$288, (ROW()-2)/2+1))*1000</f>
        <v>1225913000</v>
      </c>
      <c r="F43" s="2">
        <f>IF(MOD(ROW()-2,2)=0, INDEX('[2]1710000901-eng'!$B$12:$B$73, INT((ROW()-2)/6)+1), INDEX('[2]1710000901-eng'!$C$12:$C$73, INT((ROW()-2)/6)+1))</f>
        <v>12093412</v>
      </c>
      <c r="G43">
        <f t="shared" si="1"/>
        <v>101.37031633421569</v>
      </c>
      <c r="H43">
        <v>0</v>
      </c>
      <c r="I43">
        <v>0</v>
      </c>
      <c r="J43">
        <f t="shared" si="2"/>
        <v>0</v>
      </c>
      <c r="K43">
        <f t="shared" si="3"/>
        <v>0</v>
      </c>
      <c r="L43">
        <f t="shared" si="4"/>
        <v>0</v>
      </c>
      <c r="M43">
        <f t="shared" si="5"/>
        <v>0</v>
      </c>
      <c r="N43">
        <f t="shared" si="6"/>
        <v>0</v>
      </c>
      <c r="O43">
        <f t="shared" si="7"/>
        <v>0</v>
      </c>
      <c r="P43">
        <f t="shared" si="8"/>
        <v>0</v>
      </c>
      <c r="Q43">
        <f t="shared" si="9"/>
        <v>0</v>
      </c>
      <c r="R43">
        <f t="shared" si="10"/>
        <v>0</v>
      </c>
      <c r="S43">
        <f t="shared" si="11"/>
        <v>1</v>
      </c>
      <c r="T43">
        <f t="shared" si="12"/>
        <v>0</v>
      </c>
      <c r="U43">
        <f t="shared" si="13"/>
        <v>0</v>
      </c>
      <c r="V43">
        <f t="shared" si="14"/>
        <v>0</v>
      </c>
    </row>
    <row r="44" spans="1:22" x14ac:dyDescent="0.3">
      <c r="A44" t="s">
        <v>7</v>
      </c>
      <c r="B44">
        <v>2002</v>
      </c>
      <c r="C44">
        <v>10</v>
      </c>
      <c r="D44" t="str">
        <f t="shared" si="0"/>
        <v>2002-10</v>
      </c>
      <c r="E44" s="2">
        <f>IF(MOD(ROW()-2,2)=0, INDEX('[1]2310008001-eng'!$B$13:$B$288, (ROW()-2)/2+1), INDEX('[1]2310008001-eng'!$C$13:$C$288, (ROW()-2)/2+1))*1000</f>
        <v>688597000</v>
      </c>
      <c r="F44" s="2">
        <f>IF(MOD(ROW()-2,2)=0, INDEX('[2]1710000901-eng'!$B$12:$B$73, INT((ROW()-2)/6)+1), INDEX('[2]1710000901-eng'!$C$12:$C$73, INT((ROW()-2)/6)+1))</f>
        <v>7455548</v>
      </c>
      <c r="G44">
        <f t="shared" si="1"/>
        <v>92.360346952363528</v>
      </c>
      <c r="H44">
        <v>1</v>
      </c>
      <c r="I44">
        <v>0</v>
      </c>
      <c r="J44">
        <f t="shared" si="2"/>
        <v>0</v>
      </c>
      <c r="K44">
        <f t="shared" si="3"/>
        <v>0</v>
      </c>
      <c r="L44">
        <f t="shared" si="4"/>
        <v>0</v>
      </c>
      <c r="M44">
        <f t="shared" si="5"/>
        <v>0</v>
      </c>
      <c r="N44">
        <f t="shared" si="6"/>
        <v>0</v>
      </c>
      <c r="O44">
        <f t="shared" si="7"/>
        <v>0</v>
      </c>
      <c r="P44">
        <f t="shared" si="8"/>
        <v>0</v>
      </c>
      <c r="Q44">
        <f t="shared" si="9"/>
        <v>0</v>
      </c>
      <c r="R44">
        <f t="shared" si="10"/>
        <v>0</v>
      </c>
      <c r="S44">
        <f t="shared" si="11"/>
        <v>0</v>
      </c>
      <c r="T44">
        <f t="shared" si="12"/>
        <v>1</v>
      </c>
      <c r="U44">
        <f t="shared" si="13"/>
        <v>0</v>
      </c>
      <c r="V44">
        <f t="shared" si="14"/>
        <v>0</v>
      </c>
    </row>
    <row r="45" spans="1:22" x14ac:dyDescent="0.3">
      <c r="A45" t="s">
        <v>22</v>
      </c>
      <c r="B45">
        <v>2002</v>
      </c>
      <c r="C45">
        <v>10</v>
      </c>
      <c r="D45" t="str">
        <f t="shared" si="0"/>
        <v>2002-10</v>
      </c>
      <c r="E45" s="2">
        <f>IF(MOD(ROW()-2,2)=0, INDEX('[1]2310008001-eng'!$B$13:$B$288, (ROW()-2)/2+1), INDEX('[1]2310008001-eng'!$C$13:$C$288, (ROW()-2)/2+1))*1000</f>
        <v>1288382000</v>
      </c>
      <c r="F45" s="2">
        <f>IF(MOD(ROW()-2,2)=0, INDEX('[2]1710000901-eng'!$B$12:$B$73, INT((ROW()-2)/6)+1), INDEX('[2]1710000901-eng'!$C$12:$C$73, INT((ROW()-2)/6)+1))</f>
        <v>12145100</v>
      </c>
      <c r="G45">
        <f t="shared" si="1"/>
        <v>106.08245300573894</v>
      </c>
      <c r="H45">
        <v>0</v>
      </c>
      <c r="I45">
        <v>0</v>
      </c>
      <c r="J45">
        <f t="shared" si="2"/>
        <v>0</v>
      </c>
      <c r="K45">
        <f t="shared" si="3"/>
        <v>0</v>
      </c>
      <c r="L45">
        <f t="shared" si="4"/>
        <v>0</v>
      </c>
      <c r="M45">
        <f t="shared" si="5"/>
        <v>0</v>
      </c>
      <c r="N45">
        <f t="shared" si="6"/>
        <v>0</v>
      </c>
      <c r="O45">
        <f t="shared" si="7"/>
        <v>0</v>
      </c>
      <c r="P45">
        <f t="shared" si="8"/>
        <v>0</v>
      </c>
      <c r="Q45">
        <f t="shared" si="9"/>
        <v>0</v>
      </c>
      <c r="R45">
        <f t="shared" si="10"/>
        <v>0</v>
      </c>
      <c r="S45">
        <f t="shared" si="11"/>
        <v>0</v>
      </c>
      <c r="T45">
        <f t="shared" si="12"/>
        <v>1</v>
      </c>
      <c r="U45">
        <f t="shared" si="13"/>
        <v>0</v>
      </c>
      <c r="V45">
        <f t="shared" si="14"/>
        <v>0</v>
      </c>
    </row>
    <row r="46" spans="1:22" x14ac:dyDescent="0.3">
      <c r="A46" t="s">
        <v>7</v>
      </c>
      <c r="B46">
        <v>2002</v>
      </c>
      <c r="C46">
        <v>11</v>
      </c>
      <c r="D46" t="str">
        <f t="shared" si="0"/>
        <v>2002-11</v>
      </c>
      <c r="E46" s="2">
        <f>IF(MOD(ROW()-2,2)=0, INDEX('[1]2310008001-eng'!$B$13:$B$288, (ROW()-2)/2+1), INDEX('[1]2310008001-eng'!$C$13:$C$288, (ROW()-2)/2+1))*1000</f>
        <v>630286000</v>
      </c>
      <c r="F46" s="2">
        <f>IF(MOD(ROW()-2,2)=0, INDEX('[2]1710000901-eng'!$B$12:$B$73, INT((ROW()-2)/6)+1), INDEX('[2]1710000901-eng'!$C$12:$C$73, INT((ROW()-2)/6)+1))</f>
        <v>7455548</v>
      </c>
      <c r="G46">
        <f t="shared" si="1"/>
        <v>84.539191485320728</v>
      </c>
      <c r="H46">
        <v>1</v>
      </c>
      <c r="I46">
        <v>0</v>
      </c>
      <c r="J46">
        <f t="shared" si="2"/>
        <v>0</v>
      </c>
      <c r="K46">
        <f t="shared" si="3"/>
        <v>0</v>
      </c>
      <c r="L46">
        <f t="shared" si="4"/>
        <v>0</v>
      </c>
      <c r="M46">
        <f t="shared" si="5"/>
        <v>0</v>
      </c>
      <c r="N46">
        <f t="shared" si="6"/>
        <v>0</v>
      </c>
      <c r="O46">
        <f t="shared" si="7"/>
        <v>0</v>
      </c>
      <c r="P46">
        <f t="shared" si="8"/>
        <v>0</v>
      </c>
      <c r="Q46">
        <f t="shared" si="9"/>
        <v>0</v>
      </c>
      <c r="R46">
        <f t="shared" si="10"/>
        <v>0</v>
      </c>
      <c r="S46">
        <f t="shared" si="11"/>
        <v>0</v>
      </c>
      <c r="T46">
        <f t="shared" si="12"/>
        <v>0</v>
      </c>
      <c r="U46">
        <f t="shared" si="13"/>
        <v>1</v>
      </c>
      <c r="V46">
        <f t="shared" si="14"/>
        <v>0</v>
      </c>
    </row>
    <row r="47" spans="1:22" x14ac:dyDescent="0.3">
      <c r="A47" t="s">
        <v>22</v>
      </c>
      <c r="B47">
        <v>2002</v>
      </c>
      <c r="C47">
        <v>11</v>
      </c>
      <c r="D47" t="str">
        <f t="shared" si="0"/>
        <v>2002-11</v>
      </c>
      <c r="E47" s="2">
        <f>IF(MOD(ROW()-2,2)=0, INDEX('[1]2310008001-eng'!$B$13:$B$288, (ROW()-2)/2+1), INDEX('[1]2310008001-eng'!$C$13:$C$288, (ROW()-2)/2+1))*1000</f>
        <v>1256114000</v>
      </c>
      <c r="F47" s="2">
        <f>IF(MOD(ROW()-2,2)=0, INDEX('[2]1710000901-eng'!$B$12:$B$73, INT((ROW()-2)/6)+1), INDEX('[2]1710000901-eng'!$C$12:$C$73, INT((ROW()-2)/6)+1))</f>
        <v>12145100</v>
      </c>
      <c r="G47">
        <f t="shared" si="1"/>
        <v>103.42557904010671</v>
      </c>
      <c r="H47">
        <v>0</v>
      </c>
      <c r="I47">
        <v>0</v>
      </c>
      <c r="J47">
        <f t="shared" si="2"/>
        <v>0</v>
      </c>
      <c r="K47">
        <f t="shared" si="3"/>
        <v>0</v>
      </c>
      <c r="L47">
        <f t="shared" si="4"/>
        <v>0</v>
      </c>
      <c r="M47">
        <f t="shared" si="5"/>
        <v>0</v>
      </c>
      <c r="N47">
        <f t="shared" si="6"/>
        <v>0</v>
      </c>
      <c r="O47">
        <f t="shared" si="7"/>
        <v>0</v>
      </c>
      <c r="P47">
        <f t="shared" si="8"/>
        <v>0</v>
      </c>
      <c r="Q47">
        <f t="shared" si="9"/>
        <v>0</v>
      </c>
      <c r="R47">
        <f t="shared" si="10"/>
        <v>0</v>
      </c>
      <c r="S47">
        <f t="shared" si="11"/>
        <v>0</v>
      </c>
      <c r="T47">
        <f t="shared" si="12"/>
        <v>0</v>
      </c>
      <c r="U47">
        <f t="shared" si="13"/>
        <v>1</v>
      </c>
      <c r="V47">
        <f t="shared" si="14"/>
        <v>0</v>
      </c>
    </row>
    <row r="48" spans="1:22" x14ac:dyDescent="0.3">
      <c r="A48" t="s">
        <v>7</v>
      </c>
      <c r="B48">
        <v>2002</v>
      </c>
      <c r="C48">
        <v>12</v>
      </c>
      <c r="D48" t="str">
        <f t="shared" si="0"/>
        <v>2002-12</v>
      </c>
      <c r="E48" s="2">
        <f>IF(MOD(ROW()-2,2)=0, INDEX('[1]2310008001-eng'!$B$13:$B$288, (ROW()-2)/2+1), INDEX('[1]2310008001-eng'!$C$13:$C$288, (ROW()-2)/2+1))*1000</f>
        <v>675814000</v>
      </c>
      <c r="F48" s="2">
        <f>IF(MOD(ROW()-2,2)=0, INDEX('[2]1710000901-eng'!$B$12:$B$73, INT((ROW()-2)/6)+1), INDEX('[2]1710000901-eng'!$C$12:$C$73, INT((ROW()-2)/6)+1))</f>
        <v>7455548</v>
      </c>
      <c r="G48">
        <f t="shared" si="1"/>
        <v>90.645784857129215</v>
      </c>
      <c r="H48">
        <v>1</v>
      </c>
      <c r="I48">
        <v>0</v>
      </c>
      <c r="J48">
        <f t="shared" si="2"/>
        <v>0</v>
      </c>
      <c r="K48">
        <f t="shared" si="3"/>
        <v>0</v>
      </c>
      <c r="L48">
        <f t="shared" si="4"/>
        <v>0</v>
      </c>
      <c r="M48">
        <f t="shared" si="5"/>
        <v>0</v>
      </c>
      <c r="N48">
        <f t="shared" si="6"/>
        <v>0</v>
      </c>
      <c r="O48">
        <f t="shared" si="7"/>
        <v>0</v>
      </c>
      <c r="P48">
        <f t="shared" si="8"/>
        <v>0</v>
      </c>
      <c r="Q48">
        <f t="shared" si="9"/>
        <v>0</v>
      </c>
      <c r="R48">
        <f t="shared" si="10"/>
        <v>0</v>
      </c>
      <c r="S48">
        <f t="shared" si="11"/>
        <v>0</v>
      </c>
      <c r="T48">
        <f t="shared" si="12"/>
        <v>0</v>
      </c>
      <c r="U48">
        <f t="shared" si="13"/>
        <v>0</v>
      </c>
      <c r="V48">
        <f t="shared" si="14"/>
        <v>1</v>
      </c>
    </row>
    <row r="49" spans="1:22" x14ac:dyDescent="0.3">
      <c r="A49" t="s">
        <v>22</v>
      </c>
      <c r="B49">
        <v>2002</v>
      </c>
      <c r="C49">
        <v>12</v>
      </c>
      <c r="D49" t="str">
        <f t="shared" si="0"/>
        <v>2002-12</v>
      </c>
      <c r="E49" s="2">
        <f>IF(MOD(ROW()-2,2)=0, INDEX('[1]2310008001-eng'!$B$13:$B$288, (ROW()-2)/2+1), INDEX('[1]2310008001-eng'!$C$13:$C$288, (ROW()-2)/2+1))*1000</f>
        <v>1243816000</v>
      </c>
      <c r="F49" s="2">
        <f>IF(MOD(ROW()-2,2)=0, INDEX('[2]1710000901-eng'!$B$12:$B$73, INT((ROW()-2)/6)+1), INDEX('[2]1710000901-eng'!$C$12:$C$73, INT((ROW()-2)/6)+1))</f>
        <v>12145100</v>
      </c>
      <c r="G49">
        <f t="shared" si="1"/>
        <v>102.41298960074434</v>
      </c>
      <c r="H49">
        <v>0</v>
      </c>
      <c r="I49">
        <v>0</v>
      </c>
      <c r="J49">
        <f t="shared" si="2"/>
        <v>0</v>
      </c>
      <c r="K49">
        <f t="shared" si="3"/>
        <v>0</v>
      </c>
      <c r="L49">
        <f t="shared" si="4"/>
        <v>0</v>
      </c>
      <c r="M49">
        <f t="shared" si="5"/>
        <v>0</v>
      </c>
      <c r="N49">
        <f t="shared" si="6"/>
        <v>0</v>
      </c>
      <c r="O49">
        <f t="shared" si="7"/>
        <v>0</v>
      </c>
      <c r="P49">
        <f t="shared" si="8"/>
        <v>0</v>
      </c>
      <c r="Q49">
        <f t="shared" si="9"/>
        <v>0</v>
      </c>
      <c r="R49">
        <f t="shared" si="10"/>
        <v>0</v>
      </c>
      <c r="S49">
        <f t="shared" si="11"/>
        <v>0</v>
      </c>
      <c r="T49">
        <f t="shared" si="12"/>
        <v>0</v>
      </c>
      <c r="U49">
        <f t="shared" si="13"/>
        <v>0</v>
      </c>
      <c r="V49">
        <f t="shared" si="14"/>
        <v>1</v>
      </c>
    </row>
    <row r="50" spans="1:22" x14ac:dyDescent="0.3">
      <c r="A50" t="s">
        <v>7</v>
      </c>
      <c r="B50">
        <v>2003</v>
      </c>
      <c r="C50">
        <v>1</v>
      </c>
      <c r="D50" t="str">
        <f t="shared" si="0"/>
        <v>2003-01</v>
      </c>
      <c r="E50" s="2">
        <f>IF(MOD(ROW()-2,2)=0, INDEX('[1]2310008001-eng'!$B$13:$B$288, (ROW()-2)/2+1), INDEX('[1]2310008001-eng'!$C$13:$C$288, (ROW()-2)/2+1))*1000</f>
        <v>605809000</v>
      </c>
      <c r="F50" s="2">
        <f>IF(MOD(ROW()-2,2)=0, INDEX('[2]1710000901-eng'!$B$12:$B$73, INT((ROW()-2)/6)+1), INDEX('[2]1710000901-eng'!$C$12:$C$73, INT((ROW()-2)/6)+1))</f>
        <v>7461162</v>
      </c>
      <c r="G50">
        <f t="shared" si="1"/>
        <v>81.194993487609565</v>
      </c>
      <c r="H50">
        <v>1</v>
      </c>
      <c r="I50">
        <v>0</v>
      </c>
      <c r="J50">
        <f t="shared" si="2"/>
        <v>0</v>
      </c>
      <c r="K50">
        <f t="shared" si="3"/>
        <v>1</v>
      </c>
      <c r="L50">
        <f t="shared" si="4"/>
        <v>0</v>
      </c>
      <c r="M50">
        <f t="shared" si="5"/>
        <v>0</v>
      </c>
      <c r="N50">
        <f t="shared" si="6"/>
        <v>0</v>
      </c>
      <c r="O50">
        <f t="shared" si="7"/>
        <v>0</v>
      </c>
      <c r="P50">
        <f t="shared" si="8"/>
        <v>0</v>
      </c>
      <c r="Q50">
        <f t="shared" si="9"/>
        <v>0</v>
      </c>
      <c r="R50">
        <f t="shared" si="10"/>
        <v>0</v>
      </c>
      <c r="S50">
        <f t="shared" si="11"/>
        <v>0</v>
      </c>
      <c r="T50">
        <f t="shared" si="12"/>
        <v>0</v>
      </c>
      <c r="U50">
        <f t="shared" si="13"/>
        <v>0</v>
      </c>
      <c r="V50">
        <f t="shared" si="14"/>
        <v>0</v>
      </c>
    </row>
    <row r="51" spans="1:22" x14ac:dyDescent="0.3">
      <c r="A51" t="s">
        <v>22</v>
      </c>
      <c r="B51">
        <v>2003</v>
      </c>
      <c r="C51">
        <v>1</v>
      </c>
      <c r="D51" t="str">
        <f t="shared" si="0"/>
        <v>2003-01</v>
      </c>
      <c r="E51" s="2">
        <f>IF(MOD(ROW()-2,2)=0, INDEX('[1]2310008001-eng'!$B$13:$B$288, (ROW()-2)/2+1), INDEX('[1]2310008001-eng'!$C$13:$C$288, (ROW()-2)/2+1))*1000</f>
        <v>1250136000</v>
      </c>
      <c r="F51" s="2">
        <f>IF(MOD(ROW()-2,2)=0, INDEX('[2]1710000901-eng'!$B$12:$B$73, INT((ROW()-2)/6)+1), INDEX('[2]1710000901-eng'!$C$12:$C$73, INT((ROW()-2)/6)+1))</f>
        <v>12155691</v>
      </c>
      <c r="G51">
        <f t="shared" si="1"/>
        <v>102.84368037983197</v>
      </c>
      <c r="H51">
        <v>0</v>
      </c>
      <c r="I51">
        <v>0</v>
      </c>
      <c r="J51">
        <f t="shared" si="2"/>
        <v>0</v>
      </c>
      <c r="K51">
        <f t="shared" si="3"/>
        <v>1</v>
      </c>
      <c r="L51">
        <f t="shared" si="4"/>
        <v>0</v>
      </c>
      <c r="M51">
        <f t="shared" si="5"/>
        <v>0</v>
      </c>
      <c r="N51">
        <f t="shared" si="6"/>
        <v>0</v>
      </c>
      <c r="O51">
        <f t="shared" si="7"/>
        <v>0</v>
      </c>
      <c r="P51">
        <f t="shared" si="8"/>
        <v>0</v>
      </c>
      <c r="Q51">
        <f t="shared" si="9"/>
        <v>0</v>
      </c>
      <c r="R51">
        <f t="shared" si="10"/>
        <v>0</v>
      </c>
      <c r="S51">
        <f t="shared" si="11"/>
        <v>0</v>
      </c>
      <c r="T51">
        <f t="shared" si="12"/>
        <v>0</v>
      </c>
      <c r="U51">
        <f t="shared" si="13"/>
        <v>0</v>
      </c>
      <c r="V51">
        <f t="shared" si="14"/>
        <v>0</v>
      </c>
    </row>
    <row r="52" spans="1:22" x14ac:dyDescent="0.3">
      <c r="A52" t="s">
        <v>7</v>
      </c>
      <c r="B52">
        <v>2003</v>
      </c>
      <c r="C52">
        <v>2</v>
      </c>
      <c r="D52" t="str">
        <f t="shared" si="0"/>
        <v>2003-02</v>
      </c>
      <c r="E52" s="2">
        <f>IF(MOD(ROW()-2,2)=0, INDEX('[1]2310008001-eng'!$B$13:$B$288, (ROW()-2)/2+1), INDEX('[1]2310008001-eng'!$C$13:$C$288, (ROW()-2)/2+1))*1000</f>
        <v>585236000</v>
      </c>
      <c r="F52" s="2">
        <f>IF(MOD(ROW()-2,2)=0, INDEX('[2]1710000901-eng'!$B$12:$B$73, INT((ROW()-2)/6)+1), INDEX('[2]1710000901-eng'!$C$12:$C$73, INT((ROW()-2)/6)+1))</f>
        <v>7461162</v>
      </c>
      <c r="G52">
        <f t="shared" si="1"/>
        <v>78.437648184022805</v>
      </c>
      <c r="H52">
        <v>1</v>
      </c>
      <c r="I52">
        <v>0</v>
      </c>
      <c r="J52">
        <f t="shared" si="2"/>
        <v>0</v>
      </c>
      <c r="K52">
        <f t="shared" si="3"/>
        <v>0</v>
      </c>
      <c r="L52">
        <f t="shared" si="4"/>
        <v>1</v>
      </c>
      <c r="M52">
        <f t="shared" si="5"/>
        <v>0</v>
      </c>
      <c r="N52">
        <f t="shared" si="6"/>
        <v>0</v>
      </c>
      <c r="O52">
        <f t="shared" si="7"/>
        <v>0</v>
      </c>
      <c r="P52">
        <f t="shared" si="8"/>
        <v>0</v>
      </c>
      <c r="Q52">
        <f t="shared" si="9"/>
        <v>0</v>
      </c>
      <c r="R52">
        <f t="shared" si="10"/>
        <v>0</v>
      </c>
      <c r="S52">
        <f t="shared" si="11"/>
        <v>0</v>
      </c>
      <c r="T52">
        <f t="shared" si="12"/>
        <v>0</v>
      </c>
      <c r="U52">
        <f t="shared" si="13"/>
        <v>0</v>
      </c>
      <c r="V52">
        <f t="shared" si="14"/>
        <v>0</v>
      </c>
    </row>
    <row r="53" spans="1:22" x14ac:dyDescent="0.3">
      <c r="A53" t="s">
        <v>22</v>
      </c>
      <c r="B53">
        <v>2003</v>
      </c>
      <c r="C53">
        <v>2</v>
      </c>
      <c r="D53" t="str">
        <f t="shared" si="0"/>
        <v>2003-02</v>
      </c>
      <c r="E53" s="2">
        <f>IF(MOD(ROW()-2,2)=0, INDEX('[1]2310008001-eng'!$B$13:$B$288, (ROW()-2)/2+1), INDEX('[1]2310008001-eng'!$C$13:$C$288, (ROW()-2)/2+1))*1000</f>
        <v>1152454000</v>
      </c>
      <c r="F53" s="2">
        <f>IF(MOD(ROW()-2,2)=0, INDEX('[2]1710000901-eng'!$B$12:$B$73, INT((ROW()-2)/6)+1), INDEX('[2]1710000901-eng'!$C$12:$C$73, INT((ROW()-2)/6)+1))</f>
        <v>12155691</v>
      </c>
      <c r="G53">
        <f t="shared" si="1"/>
        <v>94.80777357700191</v>
      </c>
      <c r="H53">
        <v>0</v>
      </c>
      <c r="I53">
        <v>0</v>
      </c>
      <c r="J53">
        <f t="shared" si="2"/>
        <v>0</v>
      </c>
      <c r="K53">
        <f t="shared" si="3"/>
        <v>0</v>
      </c>
      <c r="L53">
        <f t="shared" si="4"/>
        <v>1</v>
      </c>
      <c r="M53">
        <f t="shared" si="5"/>
        <v>0</v>
      </c>
      <c r="N53">
        <f t="shared" si="6"/>
        <v>0</v>
      </c>
      <c r="O53">
        <f t="shared" si="7"/>
        <v>0</v>
      </c>
      <c r="P53">
        <f t="shared" si="8"/>
        <v>0</v>
      </c>
      <c r="Q53">
        <f t="shared" si="9"/>
        <v>0</v>
      </c>
      <c r="R53">
        <f t="shared" si="10"/>
        <v>0</v>
      </c>
      <c r="S53">
        <f t="shared" si="11"/>
        <v>0</v>
      </c>
      <c r="T53">
        <f t="shared" si="12"/>
        <v>0</v>
      </c>
      <c r="U53">
        <f t="shared" si="13"/>
        <v>0</v>
      </c>
      <c r="V53">
        <f t="shared" si="14"/>
        <v>0</v>
      </c>
    </row>
    <row r="54" spans="1:22" x14ac:dyDescent="0.3">
      <c r="A54" t="s">
        <v>7</v>
      </c>
      <c r="B54">
        <v>2003</v>
      </c>
      <c r="C54">
        <v>3</v>
      </c>
      <c r="D54" t="str">
        <f t="shared" si="0"/>
        <v>2003-03</v>
      </c>
      <c r="E54" s="2">
        <f>IF(MOD(ROW()-2,2)=0, INDEX('[1]2310008001-eng'!$B$13:$B$288, (ROW()-2)/2+1), INDEX('[1]2310008001-eng'!$C$13:$C$288, (ROW()-2)/2+1))*1000</f>
        <v>656387000</v>
      </c>
      <c r="F54" s="2">
        <f>IF(MOD(ROW()-2,2)=0, INDEX('[2]1710000901-eng'!$B$12:$B$73, INT((ROW()-2)/6)+1), INDEX('[2]1710000901-eng'!$C$12:$C$73, INT((ROW()-2)/6)+1))</f>
        <v>7461162</v>
      </c>
      <c r="G54">
        <f t="shared" si="1"/>
        <v>87.973830349749818</v>
      </c>
      <c r="H54">
        <v>1</v>
      </c>
      <c r="I54">
        <v>0</v>
      </c>
      <c r="J54">
        <f t="shared" si="2"/>
        <v>0</v>
      </c>
      <c r="K54">
        <f t="shared" si="3"/>
        <v>0</v>
      </c>
      <c r="L54">
        <f t="shared" si="4"/>
        <v>0</v>
      </c>
      <c r="M54">
        <f t="shared" si="5"/>
        <v>1</v>
      </c>
      <c r="N54">
        <f t="shared" si="6"/>
        <v>0</v>
      </c>
      <c r="O54">
        <f t="shared" si="7"/>
        <v>0</v>
      </c>
      <c r="P54">
        <f t="shared" si="8"/>
        <v>0</v>
      </c>
      <c r="Q54">
        <f t="shared" si="9"/>
        <v>0</v>
      </c>
      <c r="R54">
        <f t="shared" si="10"/>
        <v>0</v>
      </c>
      <c r="S54">
        <f t="shared" si="11"/>
        <v>0</v>
      </c>
      <c r="T54">
        <f t="shared" si="12"/>
        <v>0</v>
      </c>
      <c r="U54">
        <f t="shared" si="13"/>
        <v>0</v>
      </c>
      <c r="V54">
        <f t="shared" si="14"/>
        <v>0</v>
      </c>
    </row>
    <row r="55" spans="1:22" x14ac:dyDescent="0.3">
      <c r="A55" t="s">
        <v>22</v>
      </c>
      <c r="B55">
        <v>2003</v>
      </c>
      <c r="C55">
        <v>3</v>
      </c>
      <c r="D55" t="str">
        <f t="shared" si="0"/>
        <v>2003-03</v>
      </c>
      <c r="E55" s="2">
        <f>IF(MOD(ROW()-2,2)=0, INDEX('[1]2310008001-eng'!$B$13:$B$288, (ROW()-2)/2+1), INDEX('[1]2310008001-eng'!$C$13:$C$288, (ROW()-2)/2+1))*1000</f>
        <v>1252374000</v>
      </c>
      <c r="F55" s="2">
        <f>IF(MOD(ROW()-2,2)=0, INDEX('[2]1710000901-eng'!$B$12:$B$73, INT((ROW()-2)/6)+1), INDEX('[2]1710000901-eng'!$C$12:$C$73, INT((ROW()-2)/6)+1))</f>
        <v>12155691</v>
      </c>
      <c r="G55">
        <f t="shared" si="1"/>
        <v>103.02779167387523</v>
      </c>
      <c r="H55">
        <v>0</v>
      </c>
      <c r="I55">
        <v>0</v>
      </c>
      <c r="J55">
        <f t="shared" si="2"/>
        <v>0</v>
      </c>
      <c r="K55">
        <f t="shared" si="3"/>
        <v>0</v>
      </c>
      <c r="L55">
        <f t="shared" si="4"/>
        <v>0</v>
      </c>
      <c r="M55">
        <f t="shared" si="5"/>
        <v>1</v>
      </c>
      <c r="N55">
        <f t="shared" si="6"/>
        <v>0</v>
      </c>
      <c r="O55">
        <f t="shared" si="7"/>
        <v>0</v>
      </c>
      <c r="P55">
        <f t="shared" si="8"/>
        <v>0</v>
      </c>
      <c r="Q55">
        <f t="shared" si="9"/>
        <v>0</v>
      </c>
      <c r="R55">
        <f t="shared" si="10"/>
        <v>0</v>
      </c>
      <c r="S55">
        <f t="shared" si="11"/>
        <v>0</v>
      </c>
      <c r="T55">
        <f t="shared" si="12"/>
        <v>0</v>
      </c>
      <c r="U55">
        <f t="shared" si="13"/>
        <v>0</v>
      </c>
      <c r="V55">
        <f t="shared" si="14"/>
        <v>0</v>
      </c>
    </row>
    <row r="56" spans="1:22" x14ac:dyDescent="0.3">
      <c r="A56" t="s">
        <v>7</v>
      </c>
      <c r="B56">
        <v>2003</v>
      </c>
      <c r="C56">
        <v>4</v>
      </c>
      <c r="D56" t="str">
        <f t="shared" si="0"/>
        <v>2003-04</v>
      </c>
      <c r="E56" s="2">
        <f>IF(MOD(ROW()-2,2)=0, INDEX('[1]2310008001-eng'!$B$13:$B$288, (ROW()-2)/2+1), INDEX('[1]2310008001-eng'!$C$13:$C$288, (ROW()-2)/2+1))*1000</f>
        <v>636063000</v>
      </c>
      <c r="F56" s="2">
        <f>IF(MOD(ROW()-2,2)=0, INDEX('[2]1710000901-eng'!$B$12:$B$73, INT((ROW()-2)/6)+1), INDEX('[2]1710000901-eng'!$C$12:$C$73, INT((ROW()-2)/6)+1))</f>
        <v>7471463</v>
      </c>
      <c r="G56">
        <f t="shared" si="1"/>
        <v>85.132322812814579</v>
      </c>
      <c r="H56">
        <v>1</v>
      </c>
      <c r="I56">
        <v>0</v>
      </c>
      <c r="J56">
        <f t="shared" si="2"/>
        <v>0</v>
      </c>
      <c r="K56">
        <f t="shared" si="3"/>
        <v>0</v>
      </c>
      <c r="L56">
        <f t="shared" si="4"/>
        <v>0</v>
      </c>
      <c r="M56">
        <f t="shared" si="5"/>
        <v>0</v>
      </c>
      <c r="N56">
        <f t="shared" si="6"/>
        <v>1</v>
      </c>
      <c r="O56">
        <f t="shared" si="7"/>
        <v>0</v>
      </c>
      <c r="P56">
        <f t="shared" si="8"/>
        <v>0</v>
      </c>
      <c r="Q56">
        <f t="shared" si="9"/>
        <v>0</v>
      </c>
      <c r="R56">
        <f t="shared" si="10"/>
        <v>0</v>
      </c>
      <c r="S56">
        <f t="shared" si="11"/>
        <v>0</v>
      </c>
      <c r="T56">
        <f t="shared" si="12"/>
        <v>0</v>
      </c>
      <c r="U56">
        <f t="shared" si="13"/>
        <v>0</v>
      </c>
      <c r="V56">
        <f t="shared" si="14"/>
        <v>0</v>
      </c>
    </row>
    <row r="57" spans="1:22" x14ac:dyDescent="0.3">
      <c r="A57" t="s">
        <v>22</v>
      </c>
      <c r="B57">
        <v>2003</v>
      </c>
      <c r="C57">
        <v>4</v>
      </c>
      <c r="D57" t="str">
        <f t="shared" si="0"/>
        <v>2003-04</v>
      </c>
      <c r="E57" s="2">
        <f>IF(MOD(ROW()-2,2)=0, INDEX('[1]2310008001-eng'!$B$13:$B$288, (ROW()-2)/2+1), INDEX('[1]2310008001-eng'!$C$13:$C$288, (ROW()-2)/2+1))*1000</f>
        <v>1182088000</v>
      </c>
      <c r="F57" s="2">
        <f>IF(MOD(ROW()-2,2)=0, INDEX('[2]1710000901-eng'!$B$12:$B$73, INT((ROW()-2)/6)+1), INDEX('[2]1710000901-eng'!$C$12:$C$73, INT((ROW()-2)/6)+1))</f>
        <v>12194269</v>
      </c>
      <c r="G57">
        <f t="shared" si="1"/>
        <v>96.93799603731884</v>
      </c>
      <c r="H57">
        <v>0</v>
      </c>
      <c r="I57">
        <v>0</v>
      </c>
      <c r="J57">
        <f t="shared" si="2"/>
        <v>0</v>
      </c>
      <c r="K57">
        <f t="shared" si="3"/>
        <v>0</v>
      </c>
      <c r="L57">
        <f t="shared" si="4"/>
        <v>0</v>
      </c>
      <c r="M57">
        <f t="shared" si="5"/>
        <v>0</v>
      </c>
      <c r="N57">
        <f t="shared" si="6"/>
        <v>1</v>
      </c>
      <c r="O57">
        <f t="shared" si="7"/>
        <v>0</v>
      </c>
      <c r="P57">
        <f t="shared" si="8"/>
        <v>0</v>
      </c>
      <c r="Q57">
        <f t="shared" si="9"/>
        <v>0</v>
      </c>
      <c r="R57">
        <f t="shared" si="10"/>
        <v>0</v>
      </c>
      <c r="S57">
        <f t="shared" si="11"/>
        <v>0</v>
      </c>
      <c r="T57">
        <f t="shared" si="12"/>
        <v>0</v>
      </c>
      <c r="U57">
        <f t="shared" si="13"/>
        <v>0</v>
      </c>
      <c r="V57">
        <f t="shared" si="14"/>
        <v>0</v>
      </c>
    </row>
    <row r="58" spans="1:22" x14ac:dyDescent="0.3">
      <c r="A58" t="s">
        <v>7</v>
      </c>
      <c r="B58">
        <v>2003</v>
      </c>
      <c r="C58">
        <v>5</v>
      </c>
      <c r="D58" t="str">
        <f t="shared" si="0"/>
        <v>2003-05</v>
      </c>
      <c r="E58" s="2">
        <f>IF(MOD(ROW()-2,2)=0, INDEX('[1]2310008001-eng'!$B$13:$B$288, (ROW()-2)/2+1), INDEX('[1]2310008001-eng'!$C$13:$C$288, (ROW()-2)/2+1))*1000</f>
        <v>697739000</v>
      </c>
      <c r="F58" s="2">
        <f>IF(MOD(ROW()-2,2)=0, INDEX('[2]1710000901-eng'!$B$12:$B$73, INT((ROW()-2)/6)+1), INDEX('[2]1710000901-eng'!$C$12:$C$73, INT((ROW()-2)/6)+1))</f>
        <v>7471463</v>
      </c>
      <c r="G58">
        <f t="shared" si="1"/>
        <v>93.387198732028793</v>
      </c>
      <c r="H58">
        <v>1</v>
      </c>
      <c r="I58">
        <v>0</v>
      </c>
      <c r="J58">
        <f t="shared" si="2"/>
        <v>0</v>
      </c>
      <c r="K58">
        <f t="shared" si="3"/>
        <v>0</v>
      </c>
      <c r="L58">
        <f t="shared" si="4"/>
        <v>0</v>
      </c>
      <c r="M58">
        <f t="shared" si="5"/>
        <v>0</v>
      </c>
      <c r="N58">
        <f t="shared" si="6"/>
        <v>0</v>
      </c>
      <c r="O58">
        <f t="shared" si="7"/>
        <v>1</v>
      </c>
      <c r="P58">
        <f t="shared" si="8"/>
        <v>0</v>
      </c>
      <c r="Q58">
        <f t="shared" si="9"/>
        <v>0</v>
      </c>
      <c r="R58">
        <f t="shared" si="10"/>
        <v>0</v>
      </c>
      <c r="S58">
        <f t="shared" si="11"/>
        <v>0</v>
      </c>
      <c r="T58">
        <f t="shared" si="12"/>
        <v>0</v>
      </c>
      <c r="U58">
        <f t="shared" si="13"/>
        <v>0</v>
      </c>
      <c r="V58">
        <f t="shared" si="14"/>
        <v>0</v>
      </c>
    </row>
    <row r="59" spans="1:22" x14ac:dyDescent="0.3">
      <c r="A59" t="s">
        <v>22</v>
      </c>
      <c r="B59">
        <v>2003</v>
      </c>
      <c r="C59">
        <v>5</v>
      </c>
      <c r="D59" t="str">
        <f t="shared" si="0"/>
        <v>2003-05</v>
      </c>
      <c r="E59" s="2">
        <f>IF(MOD(ROW()-2,2)=0, INDEX('[1]2310008001-eng'!$B$13:$B$288, (ROW()-2)/2+1), INDEX('[1]2310008001-eng'!$C$13:$C$288, (ROW()-2)/2+1))*1000</f>
        <v>1309846000</v>
      </c>
      <c r="F59" s="2">
        <f>IF(MOD(ROW()-2,2)=0, INDEX('[2]1710000901-eng'!$B$12:$B$73, INT((ROW()-2)/6)+1), INDEX('[2]1710000901-eng'!$C$12:$C$73, INT((ROW()-2)/6)+1))</f>
        <v>12194269</v>
      </c>
      <c r="G59">
        <f t="shared" si="1"/>
        <v>107.41488481187351</v>
      </c>
      <c r="H59">
        <v>0</v>
      </c>
      <c r="I59">
        <v>0</v>
      </c>
      <c r="J59">
        <f t="shared" si="2"/>
        <v>0</v>
      </c>
      <c r="K59">
        <f t="shared" si="3"/>
        <v>0</v>
      </c>
      <c r="L59">
        <f t="shared" si="4"/>
        <v>0</v>
      </c>
      <c r="M59">
        <f t="shared" si="5"/>
        <v>0</v>
      </c>
      <c r="N59">
        <f t="shared" si="6"/>
        <v>0</v>
      </c>
      <c r="O59">
        <f t="shared" si="7"/>
        <v>1</v>
      </c>
      <c r="P59">
        <f t="shared" si="8"/>
        <v>0</v>
      </c>
      <c r="Q59">
        <f t="shared" si="9"/>
        <v>0</v>
      </c>
      <c r="R59">
        <f t="shared" si="10"/>
        <v>0</v>
      </c>
      <c r="S59">
        <f t="shared" si="11"/>
        <v>0</v>
      </c>
      <c r="T59">
        <f t="shared" si="12"/>
        <v>0</v>
      </c>
      <c r="U59">
        <f t="shared" si="13"/>
        <v>0</v>
      </c>
      <c r="V59">
        <f t="shared" si="14"/>
        <v>0</v>
      </c>
    </row>
    <row r="60" spans="1:22" x14ac:dyDescent="0.3">
      <c r="A60" t="s">
        <v>7</v>
      </c>
      <c r="B60">
        <v>2003</v>
      </c>
      <c r="C60">
        <v>6</v>
      </c>
      <c r="D60" t="str">
        <f t="shared" si="0"/>
        <v>2003-06</v>
      </c>
      <c r="E60" s="2">
        <f>IF(MOD(ROW()-2,2)=0, INDEX('[1]2310008001-eng'!$B$13:$B$288, (ROW()-2)/2+1), INDEX('[1]2310008001-eng'!$C$13:$C$288, (ROW()-2)/2+1))*1000</f>
        <v>580686000</v>
      </c>
      <c r="F60" s="2">
        <f>IF(MOD(ROW()-2,2)=0, INDEX('[2]1710000901-eng'!$B$12:$B$73, INT((ROW()-2)/6)+1), INDEX('[2]1710000901-eng'!$C$12:$C$73, INT((ROW()-2)/6)+1))</f>
        <v>7471463</v>
      </c>
      <c r="G60">
        <f t="shared" si="1"/>
        <v>77.720521402568679</v>
      </c>
      <c r="H60">
        <v>1</v>
      </c>
      <c r="I60">
        <v>0</v>
      </c>
      <c r="J60">
        <f t="shared" si="2"/>
        <v>0</v>
      </c>
      <c r="K60">
        <f t="shared" si="3"/>
        <v>0</v>
      </c>
      <c r="L60">
        <f t="shared" si="4"/>
        <v>0</v>
      </c>
      <c r="M60">
        <f t="shared" si="5"/>
        <v>0</v>
      </c>
      <c r="N60">
        <f t="shared" si="6"/>
        <v>0</v>
      </c>
      <c r="O60">
        <f t="shared" si="7"/>
        <v>0</v>
      </c>
      <c r="P60">
        <f t="shared" si="8"/>
        <v>1</v>
      </c>
      <c r="Q60">
        <f t="shared" si="9"/>
        <v>0</v>
      </c>
      <c r="R60">
        <f t="shared" si="10"/>
        <v>0</v>
      </c>
      <c r="S60">
        <f t="shared" si="11"/>
        <v>0</v>
      </c>
      <c r="T60">
        <f t="shared" si="12"/>
        <v>0</v>
      </c>
      <c r="U60">
        <f t="shared" si="13"/>
        <v>0</v>
      </c>
      <c r="V60">
        <f t="shared" si="14"/>
        <v>0</v>
      </c>
    </row>
    <row r="61" spans="1:22" x14ac:dyDescent="0.3">
      <c r="A61" t="s">
        <v>22</v>
      </c>
      <c r="B61">
        <v>2003</v>
      </c>
      <c r="C61">
        <v>6</v>
      </c>
      <c r="D61" t="str">
        <f t="shared" si="0"/>
        <v>2003-06</v>
      </c>
      <c r="E61" s="2">
        <f>IF(MOD(ROW()-2,2)=0, INDEX('[1]2310008001-eng'!$B$13:$B$288, (ROW()-2)/2+1), INDEX('[1]2310008001-eng'!$C$13:$C$288, (ROW()-2)/2+1))*1000</f>
        <v>1325631000</v>
      </c>
      <c r="F61" s="2">
        <f>IF(MOD(ROW()-2,2)=0, INDEX('[2]1710000901-eng'!$B$12:$B$73, INT((ROW()-2)/6)+1), INDEX('[2]1710000901-eng'!$C$12:$C$73, INT((ROW()-2)/6)+1))</f>
        <v>12194269</v>
      </c>
      <c r="G61">
        <f t="shared" si="1"/>
        <v>108.7093453490324</v>
      </c>
      <c r="H61">
        <v>0</v>
      </c>
      <c r="I61">
        <v>0</v>
      </c>
      <c r="J61">
        <f t="shared" si="2"/>
        <v>0</v>
      </c>
      <c r="K61">
        <f t="shared" si="3"/>
        <v>0</v>
      </c>
      <c r="L61">
        <f t="shared" si="4"/>
        <v>0</v>
      </c>
      <c r="M61">
        <f t="shared" si="5"/>
        <v>0</v>
      </c>
      <c r="N61">
        <f t="shared" si="6"/>
        <v>0</v>
      </c>
      <c r="O61">
        <f t="shared" si="7"/>
        <v>0</v>
      </c>
      <c r="P61">
        <f t="shared" si="8"/>
        <v>1</v>
      </c>
      <c r="Q61">
        <f t="shared" si="9"/>
        <v>0</v>
      </c>
      <c r="R61">
        <f t="shared" si="10"/>
        <v>0</v>
      </c>
      <c r="S61">
        <f t="shared" si="11"/>
        <v>0</v>
      </c>
      <c r="T61">
        <f t="shared" si="12"/>
        <v>0</v>
      </c>
      <c r="U61">
        <f t="shared" si="13"/>
        <v>0</v>
      </c>
      <c r="V61">
        <f t="shared" si="14"/>
        <v>0</v>
      </c>
    </row>
    <row r="62" spans="1:22" x14ac:dyDescent="0.3">
      <c r="A62" t="s">
        <v>7</v>
      </c>
      <c r="B62">
        <v>2003</v>
      </c>
      <c r="C62">
        <v>7</v>
      </c>
      <c r="D62" t="str">
        <f t="shared" si="0"/>
        <v>2003-07</v>
      </c>
      <c r="E62" s="2">
        <f>IF(MOD(ROW()-2,2)=0, INDEX('[1]2310008001-eng'!$B$13:$B$288, (ROW()-2)/2+1), INDEX('[1]2310008001-eng'!$C$13:$C$288, (ROW()-2)/2+1))*1000</f>
        <v>728370000</v>
      </c>
      <c r="F62" s="2">
        <f>IF(MOD(ROW()-2,2)=0, INDEX('[2]1710000901-eng'!$B$12:$B$73, INT((ROW()-2)/6)+1), INDEX('[2]1710000901-eng'!$C$12:$C$73, INT((ROW()-2)/6)+1))</f>
        <v>7485488</v>
      </c>
      <c r="G62">
        <f t="shared" si="1"/>
        <v>97.304277289603561</v>
      </c>
      <c r="H62">
        <v>1</v>
      </c>
      <c r="I62">
        <v>0</v>
      </c>
      <c r="J62">
        <f t="shared" si="2"/>
        <v>0</v>
      </c>
      <c r="K62">
        <f t="shared" si="3"/>
        <v>0</v>
      </c>
      <c r="L62">
        <f t="shared" si="4"/>
        <v>0</v>
      </c>
      <c r="M62">
        <f t="shared" si="5"/>
        <v>0</v>
      </c>
      <c r="N62">
        <f t="shared" si="6"/>
        <v>0</v>
      </c>
      <c r="O62">
        <f t="shared" si="7"/>
        <v>0</v>
      </c>
      <c r="P62">
        <f t="shared" si="8"/>
        <v>0</v>
      </c>
      <c r="Q62">
        <f t="shared" si="9"/>
        <v>1</v>
      </c>
      <c r="R62">
        <f t="shared" si="10"/>
        <v>0</v>
      </c>
      <c r="S62">
        <f t="shared" si="11"/>
        <v>0</v>
      </c>
      <c r="T62">
        <f t="shared" si="12"/>
        <v>0</v>
      </c>
      <c r="U62">
        <f t="shared" si="13"/>
        <v>0</v>
      </c>
      <c r="V62">
        <f t="shared" si="14"/>
        <v>0</v>
      </c>
    </row>
    <row r="63" spans="1:22" x14ac:dyDescent="0.3">
      <c r="A63" t="s">
        <v>22</v>
      </c>
      <c r="B63">
        <v>2003</v>
      </c>
      <c r="C63">
        <v>7</v>
      </c>
      <c r="D63" t="str">
        <f t="shared" si="0"/>
        <v>2003-07</v>
      </c>
      <c r="E63" s="2">
        <f>IF(MOD(ROW()-2,2)=0, INDEX('[1]2310008001-eng'!$B$13:$B$288, (ROW()-2)/2+1), INDEX('[1]2310008001-eng'!$C$13:$C$288, (ROW()-2)/2+1))*1000</f>
        <v>1363298000</v>
      </c>
      <c r="F63" s="2">
        <f>IF(MOD(ROW()-2,2)=0, INDEX('[2]1710000901-eng'!$B$12:$B$73, INT((ROW()-2)/6)+1), INDEX('[2]1710000901-eng'!$C$12:$C$73, INT((ROW()-2)/6)+1))</f>
        <v>12243641</v>
      </c>
      <c r="G63">
        <f t="shared" si="1"/>
        <v>111.34743333294402</v>
      </c>
      <c r="H63">
        <v>0</v>
      </c>
      <c r="I63">
        <v>0</v>
      </c>
      <c r="J63">
        <f t="shared" si="2"/>
        <v>0</v>
      </c>
      <c r="K63">
        <f t="shared" si="3"/>
        <v>0</v>
      </c>
      <c r="L63">
        <f t="shared" si="4"/>
        <v>0</v>
      </c>
      <c r="M63">
        <f t="shared" si="5"/>
        <v>0</v>
      </c>
      <c r="N63">
        <f t="shared" si="6"/>
        <v>0</v>
      </c>
      <c r="O63">
        <f t="shared" si="7"/>
        <v>0</v>
      </c>
      <c r="P63">
        <f t="shared" si="8"/>
        <v>0</v>
      </c>
      <c r="Q63">
        <f t="shared" si="9"/>
        <v>1</v>
      </c>
      <c r="R63">
        <f t="shared" si="10"/>
        <v>0</v>
      </c>
      <c r="S63">
        <f t="shared" si="11"/>
        <v>0</v>
      </c>
      <c r="T63">
        <f t="shared" si="12"/>
        <v>0</v>
      </c>
      <c r="U63">
        <f t="shared" si="13"/>
        <v>0</v>
      </c>
      <c r="V63">
        <f t="shared" si="14"/>
        <v>0</v>
      </c>
    </row>
    <row r="64" spans="1:22" x14ac:dyDescent="0.3">
      <c r="A64" t="s">
        <v>7</v>
      </c>
      <c r="B64">
        <v>2003</v>
      </c>
      <c r="C64">
        <v>8</v>
      </c>
      <c r="D64" t="str">
        <f t="shared" si="0"/>
        <v>2003-08</v>
      </c>
      <c r="E64" s="2">
        <f>IF(MOD(ROW()-2,2)=0, INDEX('[1]2310008001-eng'!$B$13:$B$288, (ROW()-2)/2+1), INDEX('[1]2310008001-eng'!$C$13:$C$288, (ROW()-2)/2+1))*1000</f>
        <v>736264000</v>
      </c>
      <c r="F64" s="2">
        <f>IF(MOD(ROW()-2,2)=0, INDEX('[2]1710000901-eng'!$B$12:$B$73, INT((ROW()-2)/6)+1), INDEX('[2]1710000901-eng'!$C$12:$C$73, INT((ROW()-2)/6)+1))</f>
        <v>7485488</v>
      </c>
      <c r="G64">
        <f t="shared" si="1"/>
        <v>98.358851153057756</v>
      </c>
      <c r="H64">
        <v>1</v>
      </c>
      <c r="I64">
        <v>0</v>
      </c>
      <c r="J64">
        <f t="shared" si="2"/>
        <v>0</v>
      </c>
      <c r="K64">
        <f t="shared" si="3"/>
        <v>0</v>
      </c>
      <c r="L64">
        <f t="shared" si="4"/>
        <v>0</v>
      </c>
      <c r="M64">
        <f t="shared" si="5"/>
        <v>0</v>
      </c>
      <c r="N64">
        <f t="shared" si="6"/>
        <v>0</v>
      </c>
      <c r="O64">
        <f t="shared" si="7"/>
        <v>0</v>
      </c>
      <c r="P64">
        <f t="shared" si="8"/>
        <v>0</v>
      </c>
      <c r="Q64">
        <f t="shared" si="9"/>
        <v>0</v>
      </c>
      <c r="R64">
        <f t="shared" si="10"/>
        <v>1</v>
      </c>
      <c r="S64">
        <f t="shared" si="11"/>
        <v>0</v>
      </c>
      <c r="T64">
        <f t="shared" si="12"/>
        <v>0</v>
      </c>
      <c r="U64">
        <f t="shared" si="13"/>
        <v>0</v>
      </c>
      <c r="V64">
        <f t="shared" si="14"/>
        <v>0</v>
      </c>
    </row>
    <row r="65" spans="1:22" x14ac:dyDescent="0.3">
      <c r="A65" t="s">
        <v>22</v>
      </c>
      <c r="B65">
        <v>2003</v>
      </c>
      <c r="C65">
        <v>8</v>
      </c>
      <c r="D65" t="str">
        <f t="shared" si="0"/>
        <v>2003-08</v>
      </c>
      <c r="E65" s="2">
        <f>IF(MOD(ROW()-2,2)=0, INDEX('[1]2310008001-eng'!$B$13:$B$288, (ROW()-2)/2+1), INDEX('[1]2310008001-eng'!$C$13:$C$288, (ROW()-2)/2+1))*1000</f>
        <v>1367747000</v>
      </c>
      <c r="F65" s="2">
        <f>IF(MOD(ROW()-2,2)=0, INDEX('[2]1710000901-eng'!$B$12:$B$73, INT((ROW()-2)/6)+1), INDEX('[2]1710000901-eng'!$C$12:$C$73, INT((ROW()-2)/6)+1))</f>
        <v>12243641</v>
      </c>
      <c r="G65">
        <f t="shared" si="1"/>
        <v>111.7108056337163</v>
      </c>
      <c r="H65">
        <v>0</v>
      </c>
      <c r="I65">
        <v>0</v>
      </c>
      <c r="J65">
        <f t="shared" si="2"/>
        <v>0</v>
      </c>
      <c r="K65">
        <f t="shared" si="3"/>
        <v>0</v>
      </c>
      <c r="L65">
        <f t="shared" si="4"/>
        <v>0</v>
      </c>
      <c r="M65">
        <f t="shared" si="5"/>
        <v>0</v>
      </c>
      <c r="N65">
        <f t="shared" si="6"/>
        <v>0</v>
      </c>
      <c r="O65">
        <f t="shared" si="7"/>
        <v>0</v>
      </c>
      <c r="P65">
        <f t="shared" si="8"/>
        <v>0</v>
      </c>
      <c r="Q65">
        <f t="shared" si="9"/>
        <v>0</v>
      </c>
      <c r="R65">
        <f t="shared" si="10"/>
        <v>1</v>
      </c>
      <c r="S65">
        <f t="shared" si="11"/>
        <v>0</v>
      </c>
      <c r="T65">
        <f t="shared" si="12"/>
        <v>0</v>
      </c>
      <c r="U65">
        <f t="shared" si="13"/>
        <v>0</v>
      </c>
      <c r="V65">
        <f t="shared" si="14"/>
        <v>0</v>
      </c>
    </row>
    <row r="66" spans="1:22" x14ac:dyDescent="0.3">
      <c r="A66" t="s">
        <v>7</v>
      </c>
      <c r="B66">
        <v>2003</v>
      </c>
      <c r="C66">
        <v>9</v>
      </c>
      <c r="D66" t="str">
        <f t="shared" si="0"/>
        <v>2003-09</v>
      </c>
      <c r="E66" s="2">
        <f>IF(MOD(ROW()-2,2)=0, INDEX('[1]2310008001-eng'!$B$13:$B$288, (ROW()-2)/2+1), INDEX('[1]2310008001-eng'!$C$13:$C$288, (ROW()-2)/2+1))*1000</f>
        <v>663648000</v>
      </c>
      <c r="F66" s="2">
        <f>IF(MOD(ROW()-2,2)=0, INDEX('[2]1710000901-eng'!$B$12:$B$73, INT((ROW()-2)/6)+1), INDEX('[2]1710000901-eng'!$C$12:$C$73, INT((ROW()-2)/6)+1))</f>
        <v>7485488</v>
      </c>
      <c r="G66">
        <f t="shared" si="1"/>
        <v>88.657947217335732</v>
      </c>
      <c r="H66">
        <v>1</v>
      </c>
      <c r="I66">
        <v>0</v>
      </c>
      <c r="J66">
        <f t="shared" si="2"/>
        <v>0</v>
      </c>
      <c r="K66">
        <f t="shared" si="3"/>
        <v>0</v>
      </c>
      <c r="L66">
        <f t="shared" si="4"/>
        <v>0</v>
      </c>
      <c r="M66">
        <f t="shared" si="5"/>
        <v>0</v>
      </c>
      <c r="N66">
        <f t="shared" si="6"/>
        <v>0</v>
      </c>
      <c r="O66">
        <f t="shared" si="7"/>
        <v>0</v>
      </c>
      <c r="P66">
        <f t="shared" si="8"/>
        <v>0</v>
      </c>
      <c r="Q66">
        <f t="shared" si="9"/>
        <v>0</v>
      </c>
      <c r="R66">
        <f t="shared" si="10"/>
        <v>0</v>
      </c>
      <c r="S66">
        <f t="shared" si="11"/>
        <v>1</v>
      </c>
      <c r="T66">
        <f t="shared" si="12"/>
        <v>0</v>
      </c>
      <c r="U66">
        <f t="shared" si="13"/>
        <v>0</v>
      </c>
      <c r="V66">
        <f t="shared" si="14"/>
        <v>0</v>
      </c>
    </row>
    <row r="67" spans="1:22" x14ac:dyDescent="0.3">
      <c r="A67" t="s">
        <v>22</v>
      </c>
      <c r="B67">
        <v>2003</v>
      </c>
      <c r="C67">
        <v>9</v>
      </c>
      <c r="D67" t="str">
        <f t="shared" ref="D67:D130" si="15">TEXT(DATE(B67,C67,1),"yyyy-mm")</f>
        <v>2003-09</v>
      </c>
      <c r="E67" s="2">
        <f>IF(MOD(ROW()-2,2)=0, INDEX('[1]2310008001-eng'!$B$13:$B$288, (ROW()-2)/2+1), INDEX('[1]2310008001-eng'!$C$13:$C$288, (ROW()-2)/2+1))*1000</f>
        <v>1283645000</v>
      </c>
      <c r="F67" s="2">
        <f>IF(MOD(ROW()-2,2)=0, INDEX('[2]1710000901-eng'!$B$12:$B$73, INT((ROW()-2)/6)+1), INDEX('[2]1710000901-eng'!$C$12:$C$73, INT((ROW()-2)/6)+1))</f>
        <v>12243641</v>
      </c>
      <c r="G67">
        <f t="shared" ref="G67:G130" si="16">E67/F67</f>
        <v>104.84177051581307</v>
      </c>
      <c r="H67">
        <v>0</v>
      </c>
      <c r="I67">
        <v>0</v>
      </c>
      <c r="J67">
        <f t="shared" ref="J67:J130" si="17">IF(AND(H67=1, I67=1), 1, 0)</f>
        <v>0</v>
      </c>
      <c r="K67">
        <f t="shared" ref="K67:K130" si="18">IF(C67=1,1,0)</f>
        <v>0</v>
      </c>
      <c r="L67">
        <f t="shared" ref="L67:L130" si="19">IF(C67=2,1,0)</f>
        <v>0</v>
      </c>
      <c r="M67">
        <f t="shared" ref="M67:M130" si="20">IF(C67=3,1,0)</f>
        <v>0</v>
      </c>
      <c r="N67">
        <f t="shared" ref="N67:N130" si="21">IF(C67=4,1,0)</f>
        <v>0</v>
      </c>
      <c r="O67">
        <f t="shared" ref="O67:O130" si="22">IF(C67=5,1,0)</f>
        <v>0</v>
      </c>
      <c r="P67">
        <f t="shared" ref="P67:P130" si="23">IF(C67=6,1,0)</f>
        <v>0</v>
      </c>
      <c r="Q67">
        <f t="shared" ref="Q67:Q130" si="24">IF(C67=7,1,0)</f>
        <v>0</v>
      </c>
      <c r="R67">
        <f t="shared" ref="R67:R130" si="25">IF(C67=8,1,0)</f>
        <v>0</v>
      </c>
      <c r="S67">
        <f t="shared" ref="S67:S130" si="26">IF(C67=9,1,0)</f>
        <v>1</v>
      </c>
      <c r="T67">
        <f t="shared" ref="T67:T130" si="27">IF(C67=10,1,0)</f>
        <v>0</v>
      </c>
      <c r="U67">
        <f t="shared" ref="U67:U130" si="28">IF(C67=11,1,0)</f>
        <v>0</v>
      </c>
      <c r="V67">
        <f t="shared" ref="V67:V130" si="29">IF(C67=12,1,0)</f>
        <v>0</v>
      </c>
    </row>
    <row r="68" spans="1:22" x14ac:dyDescent="0.3">
      <c r="A68" t="s">
        <v>7</v>
      </c>
      <c r="B68">
        <v>2003</v>
      </c>
      <c r="C68">
        <v>10</v>
      </c>
      <c r="D68" t="str">
        <f t="shared" si="15"/>
        <v>2003-10</v>
      </c>
      <c r="E68" s="2">
        <f>IF(MOD(ROW()-2,2)=0, INDEX('[1]2310008001-eng'!$B$13:$B$288, (ROW()-2)/2+1), INDEX('[1]2310008001-eng'!$C$13:$C$288, (ROW()-2)/2+1))*1000</f>
        <v>711106000</v>
      </c>
      <c r="F68" s="2">
        <f>IF(MOD(ROW()-2,2)=0, INDEX('[2]1710000901-eng'!$B$12:$B$73, INT((ROW()-2)/6)+1), INDEX('[2]1710000901-eng'!$C$12:$C$73, INT((ROW()-2)/6)+1))</f>
        <v>7503483</v>
      </c>
      <c r="G68">
        <f t="shared" si="16"/>
        <v>94.770122088635375</v>
      </c>
      <c r="H68">
        <v>1</v>
      </c>
      <c r="I68">
        <v>0</v>
      </c>
      <c r="J68">
        <f t="shared" si="17"/>
        <v>0</v>
      </c>
      <c r="K68">
        <f t="shared" si="18"/>
        <v>0</v>
      </c>
      <c r="L68">
        <f t="shared" si="19"/>
        <v>0</v>
      </c>
      <c r="M68">
        <f t="shared" si="20"/>
        <v>0</v>
      </c>
      <c r="N68">
        <f t="shared" si="21"/>
        <v>0</v>
      </c>
      <c r="O68">
        <f t="shared" si="22"/>
        <v>0</v>
      </c>
      <c r="P68">
        <f t="shared" si="23"/>
        <v>0</v>
      </c>
      <c r="Q68">
        <f t="shared" si="24"/>
        <v>0</v>
      </c>
      <c r="R68">
        <f t="shared" si="25"/>
        <v>0</v>
      </c>
      <c r="S68">
        <f t="shared" si="26"/>
        <v>0</v>
      </c>
      <c r="T68">
        <f t="shared" si="27"/>
        <v>1</v>
      </c>
      <c r="U68">
        <f t="shared" si="28"/>
        <v>0</v>
      </c>
      <c r="V68">
        <f t="shared" si="29"/>
        <v>0</v>
      </c>
    </row>
    <row r="69" spans="1:22" x14ac:dyDescent="0.3">
      <c r="A69" t="s">
        <v>22</v>
      </c>
      <c r="B69">
        <v>2003</v>
      </c>
      <c r="C69">
        <v>10</v>
      </c>
      <c r="D69" t="str">
        <f t="shared" si="15"/>
        <v>2003-10</v>
      </c>
      <c r="E69" s="2">
        <f>IF(MOD(ROW()-2,2)=0, INDEX('[1]2310008001-eng'!$B$13:$B$288, (ROW()-2)/2+1), INDEX('[1]2310008001-eng'!$C$13:$C$288, (ROW()-2)/2+1))*1000</f>
        <v>1351734000</v>
      </c>
      <c r="F69" s="2">
        <f>IF(MOD(ROW()-2,2)=0, INDEX('[2]1710000901-eng'!$B$12:$B$73, INT((ROW()-2)/6)+1), INDEX('[2]1710000901-eng'!$C$12:$C$73, INT((ROW()-2)/6)+1))</f>
        <v>12290116</v>
      </c>
      <c r="G69">
        <f t="shared" si="16"/>
        <v>109.98545497861859</v>
      </c>
      <c r="H69">
        <v>0</v>
      </c>
      <c r="I69">
        <v>0</v>
      </c>
      <c r="J69">
        <f t="shared" si="17"/>
        <v>0</v>
      </c>
      <c r="K69">
        <f t="shared" si="18"/>
        <v>0</v>
      </c>
      <c r="L69">
        <f t="shared" si="19"/>
        <v>0</v>
      </c>
      <c r="M69">
        <f t="shared" si="20"/>
        <v>0</v>
      </c>
      <c r="N69">
        <f t="shared" si="21"/>
        <v>0</v>
      </c>
      <c r="O69">
        <f t="shared" si="22"/>
        <v>0</v>
      </c>
      <c r="P69">
        <f t="shared" si="23"/>
        <v>0</v>
      </c>
      <c r="Q69">
        <f t="shared" si="24"/>
        <v>0</v>
      </c>
      <c r="R69">
        <f t="shared" si="25"/>
        <v>0</v>
      </c>
      <c r="S69">
        <f t="shared" si="26"/>
        <v>0</v>
      </c>
      <c r="T69">
        <f t="shared" si="27"/>
        <v>1</v>
      </c>
      <c r="U69">
        <f t="shared" si="28"/>
        <v>0</v>
      </c>
      <c r="V69">
        <f t="shared" si="29"/>
        <v>0</v>
      </c>
    </row>
    <row r="70" spans="1:22" x14ac:dyDescent="0.3">
      <c r="A70" t="s">
        <v>7</v>
      </c>
      <c r="B70">
        <v>2003</v>
      </c>
      <c r="C70">
        <v>11</v>
      </c>
      <c r="D70" t="str">
        <f t="shared" si="15"/>
        <v>2003-11</v>
      </c>
      <c r="E70" s="2">
        <f>IF(MOD(ROW()-2,2)=0, INDEX('[1]2310008001-eng'!$B$13:$B$288, (ROW()-2)/2+1), INDEX('[1]2310008001-eng'!$C$13:$C$288, (ROW()-2)/2+1))*1000</f>
        <v>660134000</v>
      </c>
      <c r="F70" s="2">
        <f>IF(MOD(ROW()-2,2)=0, INDEX('[2]1710000901-eng'!$B$12:$B$73, INT((ROW()-2)/6)+1), INDEX('[2]1710000901-eng'!$C$12:$C$73, INT((ROW()-2)/6)+1))</f>
        <v>7503483</v>
      </c>
      <c r="G70">
        <f t="shared" si="16"/>
        <v>87.977010143156178</v>
      </c>
      <c r="H70">
        <v>1</v>
      </c>
      <c r="I70">
        <v>0</v>
      </c>
      <c r="J70">
        <f t="shared" si="17"/>
        <v>0</v>
      </c>
      <c r="K70">
        <f t="shared" si="18"/>
        <v>0</v>
      </c>
      <c r="L70">
        <f t="shared" si="19"/>
        <v>0</v>
      </c>
      <c r="M70">
        <f t="shared" si="20"/>
        <v>0</v>
      </c>
      <c r="N70">
        <f t="shared" si="21"/>
        <v>0</v>
      </c>
      <c r="O70">
        <f t="shared" si="22"/>
        <v>0</v>
      </c>
      <c r="P70">
        <f t="shared" si="23"/>
        <v>0</v>
      </c>
      <c r="Q70">
        <f t="shared" si="24"/>
        <v>0</v>
      </c>
      <c r="R70">
        <f t="shared" si="25"/>
        <v>0</v>
      </c>
      <c r="S70">
        <f t="shared" si="26"/>
        <v>0</v>
      </c>
      <c r="T70">
        <f t="shared" si="27"/>
        <v>0</v>
      </c>
      <c r="U70">
        <f t="shared" si="28"/>
        <v>1</v>
      </c>
      <c r="V70">
        <f t="shared" si="29"/>
        <v>0</v>
      </c>
    </row>
    <row r="71" spans="1:22" x14ac:dyDescent="0.3">
      <c r="A71" t="s">
        <v>22</v>
      </c>
      <c r="B71">
        <v>2003</v>
      </c>
      <c r="C71">
        <v>11</v>
      </c>
      <c r="D71" t="str">
        <f t="shared" si="15"/>
        <v>2003-11</v>
      </c>
      <c r="E71" s="2">
        <f>IF(MOD(ROW()-2,2)=0, INDEX('[1]2310008001-eng'!$B$13:$B$288, (ROW()-2)/2+1), INDEX('[1]2310008001-eng'!$C$13:$C$288, (ROW()-2)/2+1))*1000</f>
        <v>1229545000</v>
      </c>
      <c r="F71" s="2">
        <f>IF(MOD(ROW()-2,2)=0, INDEX('[2]1710000901-eng'!$B$12:$B$73, INT((ROW()-2)/6)+1), INDEX('[2]1710000901-eng'!$C$12:$C$73, INT((ROW()-2)/6)+1))</f>
        <v>12290116</v>
      </c>
      <c r="G71">
        <f t="shared" si="16"/>
        <v>100.04340072949678</v>
      </c>
      <c r="H71">
        <v>0</v>
      </c>
      <c r="I71">
        <v>0</v>
      </c>
      <c r="J71">
        <f t="shared" si="17"/>
        <v>0</v>
      </c>
      <c r="K71">
        <f t="shared" si="18"/>
        <v>0</v>
      </c>
      <c r="L71">
        <f t="shared" si="19"/>
        <v>0</v>
      </c>
      <c r="M71">
        <f t="shared" si="20"/>
        <v>0</v>
      </c>
      <c r="N71">
        <f t="shared" si="21"/>
        <v>0</v>
      </c>
      <c r="O71">
        <f t="shared" si="22"/>
        <v>0</v>
      </c>
      <c r="P71">
        <f t="shared" si="23"/>
        <v>0</v>
      </c>
      <c r="Q71">
        <f t="shared" si="24"/>
        <v>0</v>
      </c>
      <c r="R71">
        <f t="shared" si="25"/>
        <v>0</v>
      </c>
      <c r="S71">
        <f t="shared" si="26"/>
        <v>0</v>
      </c>
      <c r="T71">
        <f t="shared" si="27"/>
        <v>0</v>
      </c>
      <c r="U71">
        <f t="shared" si="28"/>
        <v>1</v>
      </c>
      <c r="V71">
        <f t="shared" si="29"/>
        <v>0</v>
      </c>
    </row>
    <row r="72" spans="1:22" x14ac:dyDescent="0.3">
      <c r="A72" t="s">
        <v>7</v>
      </c>
      <c r="B72">
        <v>2003</v>
      </c>
      <c r="C72">
        <v>12</v>
      </c>
      <c r="D72" t="str">
        <f t="shared" si="15"/>
        <v>2003-12</v>
      </c>
      <c r="E72" s="2">
        <f>IF(MOD(ROW()-2,2)=0, INDEX('[1]2310008001-eng'!$B$13:$B$288, (ROW()-2)/2+1), INDEX('[1]2310008001-eng'!$C$13:$C$288, (ROW()-2)/2+1))*1000</f>
        <v>697008000</v>
      </c>
      <c r="F72" s="2">
        <f>IF(MOD(ROW()-2,2)=0, INDEX('[2]1710000901-eng'!$B$12:$B$73, INT((ROW()-2)/6)+1), INDEX('[2]1710000901-eng'!$C$12:$C$73, INT((ROW()-2)/6)+1))</f>
        <v>7503483</v>
      </c>
      <c r="G72">
        <f t="shared" si="16"/>
        <v>92.891261298253085</v>
      </c>
      <c r="H72">
        <v>1</v>
      </c>
      <c r="I72">
        <v>0</v>
      </c>
      <c r="J72">
        <f t="shared" si="17"/>
        <v>0</v>
      </c>
      <c r="K72">
        <f t="shared" si="18"/>
        <v>0</v>
      </c>
      <c r="L72">
        <f t="shared" si="19"/>
        <v>0</v>
      </c>
      <c r="M72">
        <f t="shared" si="20"/>
        <v>0</v>
      </c>
      <c r="N72">
        <f t="shared" si="21"/>
        <v>0</v>
      </c>
      <c r="O72">
        <f t="shared" si="22"/>
        <v>0</v>
      </c>
      <c r="P72">
        <f t="shared" si="23"/>
        <v>0</v>
      </c>
      <c r="Q72">
        <f t="shared" si="24"/>
        <v>0</v>
      </c>
      <c r="R72">
        <f t="shared" si="25"/>
        <v>0</v>
      </c>
      <c r="S72">
        <f t="shared" si="26"/>
        <v>0</v>
      </c>
      <c r="T72">
        <f t="shared" si="27"/>
        <v>0</v>
      </c>
      <c r="U72">
        <f t="shared" si="28"/>
        <v>0</v>
      </c>
      <c r="V72">
        <f t="shared" si="29"/>
        <v>1</v>
      </c>
    </row>
    <row r="73" spans="1:22" x14ac:dyDescent="0.3">
      <c r="A73" t="s">
        <v>22</v>
      </c>
      <c r="B73">
        <v>2003</v>
      </c>
      <c r="C73">
        <v>12</v>
      </c>
      <c r="D73" t="str">
        <f t="shared" si="15"/>
        <v>2003-12</v>
      </c>
      <c r="E73" s="2">
        <f>IF(MOD(ROW()-2,2)=0, INDEX('[1]2310008001-eng'!$B$13:$B$288, (ROW()-2)/2+1), INDEX('[1]2310008001-eng'!$C$13:$C$288, (ROW()-2)/2+1))*1000</f>
        <v>1313032000</v>
      </c>
      <c r="F73" s="2">
        <f>IF(MOD(ROW()-2,2)=0, INDEX('[2]1710000901-eng'!$B$12:$B$73, INT((ROW()-2)/6)+1), INDEX('[2]1710000901-eng'!$C$12:$C$73, INT((ROW()-2)/6)+1))</f>
        <v>12290116</v>
      </c>
      <c r="G73">
        <f t="shared" si="16"/>
        <v>106.83642042109285</v>
      </c>
      <c r="H73">
        <v>0</v>
      </c>
      <c r="I73">
        <v>0</v>
      </c>
      <c r="J73">
        <f t="shared" si="17"/>
        <v>0</v>
      </c>
      <c r="K73">
        <f t="shared" si="18"/>
        <v>0</v>
      </c>
      <c r="L73">
        <f t="shared" si="19"/>
        <v>0</v>
      </c>
      <c r="M73">
        <f t="shared" si="20"/>
        <v>0</v>
      </c>
      <c r="N73">
        <f t="shared" si="21"/>
        <v>0</v>
      </c>
      <c r="O73">
        <f t="shared" si="22"/>
        <v>0</v>
      </c>
      <c r="P73">
        <f t="shared" si="23"/>
        <v>0</v>
      </c>
      <c r="Q73">
        <f t="shared" si="24"/>
        <v>0</v>
      </c>
      <c r="R73">
        <f t="shared" si="25"/>
        <v>0</v>
      </c>
      <c r="S73">
        <f t="shared" si="26"/>
        <v>0</v>
      </c>
      <c r="T73">
        <f t="shared" si="27"/>
        <v>0</v>
      </c>
      <c r="U73">
        <f t="shared" si="28"/>
        <v>0</v>
      </c>
      <c r="V73">
        <f t="shared" si="29"/>
        <v>1</v>
      </c>
    </row>
    <row r="74" spans="1:22" x14ac:dyDescent="0.3">
      <c r="A74" t="s">
        <v>7</v>
      </c>
      <c r="B74">
        <v>2004</v>
      </c>
      <c r="C74">
        <v>1</v>
      </c>
      <c r="D74" t="str">
        <f t="shared" si="15"/>
        <v>2004-01</v>
      </c>
      <c r="E74" s="2">
        <f>IF(MOD(ROW()-2,2)=0, INDEX('[1]2310008001-eng'!$B$13:$B$288, (ROW()-2)/2+1), INDEX('[1]2310008001-eng'!$C$13:$C$288, (ROW()-2)/2+1))*1000</f>
        <v>701005000</v>
      </c>
      <c r="F74" s="2">
        <f>IF(MOD(ROW()-2,2)=0, INDEX('[2]1710000901-eng'!$B$12:$B$73, INT((ROW()-2)/6)+1), INDEX('[2]1710000901-eng'!$C$12:$C$73, INT((ROW()-2)/6)+1))</f>
        <v>7510218</v>
      </c>
      <c r="G74">
        <f t="shared" si="16"/>
        <v>93.340166690234554</v>
      </c>
      <c r="H74">
        <v>1</v>
      </c>
      <c r="I74">
        <v>0</v>
      </c>
      <c r="J74">
        <f t="shared" si="17"/>
        <v>0</v>
      </c>
      <c r="K74">
        <f t="shared" si="18"/>
        <v>1</v>
      </c>
      <c r="L74">
        <f t="shared" si="19"/>
        <v>0</v>
      </c>
      <c r="M74">
        <f t="shared" si="20"/>
        <v>0</v>
      </c>
      <c r="N74">
        <f t="shared" si="21"/>
        <v>0</v>
      </c>
      <c r="O74">
        <f t="shared" si="22"/>
        <v>0</v>
      </c>
      <c r="P74">
        <f t="shared" si="23"/>
        <v>0</v>
      </c>
      <c r="Q74">
        <f t="shared" si="24"/>
        <v>0</v>
      </c>
      <c r="R74">
        <f t="shared" si="25"/>
        <v>0</v>
      </c>
      <c r="S74">
        <f t="shared" si="26"/>
        <v>0</v>
      </c>
      <c r="T74">
        <f t="shared" si="27"/>
        <v>0</v>
      </c>
      <c r="U74">
        <f t="shared" si="28"/>
        <v>0</v>
      </c>
      <c r="V74">
        <f t="shared" si="29"/>
        <v>0</v>
      </c>
    </row>
    <row r="75" spans="1:22" x14ac:dyDescent="0.3">
      <c r="A75" t="s">
        <v>22</v>
      </c>
      <c r="B75">
        <v>2004</v>
      </c>
      <c r="C75">
        <v>1</v>
      </c>
      <c r="D75" t="str">
        <f t="shared" si="15"/>
        <v>2004-01</v>
      </c>
      <c r="E75" s="2">
        <f>IF(MOD(ROW()-2,2)=0, INDEX('[1]2310008001-eng'!$B$13:$B$288, (ROW()-2)/2+1), INDEX('[1]2310008001-eng'!$C$13:$C$288, (ROW()-2)/2+1))*1000</f>
        <v>1254509000</v>
      </c>
      <c r="F75" s="2">
        <f>IF(MOD(ROW()-2,2)=0, INDEX('[2]1710000901-eng'!$B$12:$B$73, INT((ROW()-2)/6)+1), INDEX('[2]1710000901-eng'!$C$12:$C$73, INT((ROW()-2)/6)+1))</f>
        <v>12303516</v>
      </c>
      <c r="G75">
        <f t="shared" si="16"/>
        <v>101.96345499936766</v>
      </c>
      <c r="H75">
        <v>0</v>
      </c>
      <c r="I75">
        <v>0</v>
      </c>
      <c r="J75">
        <f t="shared" si="17"/>
        <v>0</v>
      </c>
      <c r="K75">
        <f t="shared" si="18"/>
        <v>1</v>
      </c>
      <c r="L75">
        <f t="shared" si="19"/>
        <v>0</v>
      </c>
      <c r="M75">
        <f t="shared" si="20"/>
        <v>0</v>
      </c>
      <c r="N75">
        <f t="shared" si="21"/>
        <v>0</v>
      </c>
      <c r="O75">
        <f t="shared" si="22"/>
        <v>0</v>
      </c>
      <c r="P75">
        <f t="shared" si="23"/>
        <v>0</v>
      </c>
      <c r="Q75">
        <f t="shared" si="24"/>
        <v>0</v>
      </c>
      <c r="R75">
        <f t="shared" si="25"/>
        <v>0</v>
      </c>
      <c r="S75">
        <f t="shared" si="26"/>
        <v>0</v>
      </c>
      <c r="T75">
        <f t="shared" si="27"/>
        <v>0</v>
      </c>
      <c r="U75">
        <f t="shared" si="28"/>
        <v>0</v>
      </c>
      <c r="V75">
        <f t="shared" si="29"/>
        <v>0</v>
      </c>
    </row>
    <row r="76" spans="1:22" x14ac:dyDescent="0.3">
      <c r="A76" t="s">
        <v>7</v>
      </c>
      <c r="B76">
        <v>2004</v>
      </c>
      <c r="C76">
        <v>2</v>
      </c>
      <c r="D76" t="str">
        <f t="shared" si="15"/>
        <v>2004-02</v>
      </c>
      <c r="E76" s="2">
        <f>IF(MOD(ROW()-2,2)=0, INDEX('[1]2310008001-eng'!$B$13:$B$288, (ROW()-2)/2+1), INDEX('[1]2310008001-eng'!$C$13:$C$288, (ROW()-2)/2+1))*1000</f>
        <v>652776000</v>
      </c>
      <c r="F76" s="2">
        <f>IF(MOD(ROW()-2,2)=0, INDEX('[2]1710000901-eng'!$B$12:$B$73, INT((ROW()-2)/6)+1), INDEX('[2]1710000901-eng'!$C$12:$C$73, INT((ROW()-2)/6)+1))</f>
        <v>7510218</v>
      </c>
      <c r="G76">
        <f t="shared" si="16"/>
        <v>86.918382395823926</v>
      </c>
      <c r="H76">
        <v>1</v>
      </c>
      <c r="I76">
        <v>0</v>
      </c>
      <c r="J76">
        <f t="shared" si="17"/>
        <v>0</v>
      </c>
      <c r="K76">
        <f t="shared" si="18"/>
        <v>0</v>
      </c>
      <c r="L76">
        <f t="shared" si="19"/>
        <v>1</v>
      </c>
      <c r="M76">
        <f t="shared" si="20"/>
        <v>0</v>
      </c>
      <c r="N76">
        <f t="shared" si="21"/>
        <v>0</v>
      </c>
      <c r="O76">
        <f t="shared" si="22"/>
        <v>0</v>
      </c>
      <c r="P76">
        <f t="shared" si="23"/>
        <v>0</v>
      </c>
      <c r="Q76">
        <f t="shared" si="24"/>
        <v>0</v>
      </c>
      <c r="R76">
        <f t="shared" si="25"/>
        <v>0</v>
      </c>
      <c r="S76">
        <f t="shared" si="26"/>
        <v>0</v>
      </c>
      <c r="T76">
        <f t="shared" si="27"/>
        <v>0</v>
      </c>
      <c r="U76">
        <f t="shared" si="28"/>
        <v>0</v>
      </c>
      <c r="V76">
        <f t="shared" si="29"/>
        <v>0</v>
      </c>
    </row>
    <row r="77" spans="1:22" x14ac:dyDescent="0.3">
      <c r="A77" t="s">
        <v>22</v>
      </c>
      <c r="B77">
        <v>2004</v>
      </c>
      <c r="C77">
        <v>2</v>
      </c>
      <c r="D77" t="str">
        <f t="shared" si="15"/>
        <v>2004-02</v>
      </c>
      <c r="E77" s="2">
        <f>IF(MOD(ROW()-2,2)=0, INDEX('[1]2310008001-eng'!$B$13:$B$288, (ROW()-2)/2+1), INDEX('[1]2310008001-eng'!$C$13:$C$288, (ROW()-2)/2+1))*1000</f>
        <v>1169583000</v>
      </c>
      <c r="F77" s="2">
        <f>IF(MOD(ROW()-2,2)=0, INDEX('[2]1710000901-eng'!$B$12:$B$73, INT((ROW()-2)/6)+1), INDEX('[2]1710000901-eng'!$C$12:$C$73, INT((ROW()-2)/6)+1))</f>
        <v>12303516</v>
      </c>
      <c r="G77">
        <f t="shared" si="16"/>
        <v>95.060875281504892</v>
      </c>
      <c r="H77">
        <v>0</v>
      </c>
      <c r="I77">
        <v>0</v>
      </c>
      <c r="J77">
        <f t="shared" si="17"/>
        <v>0</v>
      </c>
      <c r="K77">
        <f t="shared" si="18"/>
        <v>0</v>
      </c>
      <c r="L77">
        <f t="shared" si="19"/>
        <v>1</v>
      </c>
      <c r="M77">
        <f t="shared" si="20"/>
        <v>0</v>
      </c>
      <c r="N77">
        <f t="shared" si="21"/>
        <v>0</v>
      </c>
      <c r="O77">
        <f t="shared" si="22"/>
        <v>0</v>
      </c>
      <c r="P77">
        <f t="shared" si="23"/>
        <v>0</v>
      </c>
      <c r="Q77">
        <f t="shared" si="24"/>
        <v>0</v>
      </c>
      <c r="R77">
        <f t="shared" si="25"/>
        <v>0</v>
      </c>
      <c r="S77">
        <f t="shared" si="26"/>
        <v>0</v>
      </c>
      <c r="T77">
        <f t="shared" si="27"/>
        <v>0</v>
      </c>
      <c r="U77">
        <f t="shared" si="28"/>
        <v>0</v>
      </c>
      <c r="V77">
        <f t="shared" si="29"/>
        <v>0</v>
      </c>
    </row>
    <row r="78" spans="1:22" x14ac:dyDescent="0.3">
      <c r="A78" t="s">
        <v>7</v>
      </c>
      <c r="B78">
        <v>2004</v>
      </c>
      <c r="C78">
        <v>3</v>
      </c>
      <c r="D78" t="str">
        <f t="shared" si="15"/>
        <v>2004-03</v>
      </c>
      <c r="E78" s="2">
        <f>IF(MOD(ROW()-2,2)=0, INDEX('[1]2310008001-eng'!$B$13:$B$288, (ROW()-2)/2+1), INDEX('[1]2310008001-eng'!$C$13:$C$288, (ROW()-2)/2+1))*1000</f>
        <v>672349000</v>
      </c>
      <c r="F78" s="2">
        <f>IF(MOD(ROW()-2,2)=0, INDEX('[2]1710000901-eng'!$B$12:$B$73, INT((ROW()-2)/6)+1), INDEX('[2]1710000901-eng'!$C$12:$C$73, INT((ROW()-2)/6)+1))</f>
        <v>7510218</v>
      </c>
      <c r="G78">
        <f t="shared" si="16"/>
        <v>89.524565065887572</v>
      </c>
      <c r="H78">
        <v>1</v>
      </c>
      <c r="I78">
        <v>0</v>
      </c>
      <c r="J78">
        <f t="shared" si="17"/>
        <v>0</v>
      </c>
      <c r="K78">
        <f t="shared" si="18"/>
        <v>0</v>
      </c>
      <c r="L78">
        <f t="shared" si="19"/>
        <v>0</v>
      </c>
      <c r="M78">
        <f t="shared" si="20"/>
        <v>1</v>
      </c>
      <c r="N78">
        <f t="shared" si="21"/>
        <v>0</v>
      </c>
      <c r="O78">
        <f t="shared" si="22"/>
        <v>0</v>
      </c>
      <c r="P78">
        <f t="shared" si="23"/>
        <v>0</v>
      </c>
      <c r="Q78">
        <f t="shared" si="24"/>
        <v>0</v>
      </c>
      <c r="R78">
        <f t="shared" si="25"/>
        <v>0</v>
      </c>
      <c r="S78">
        <f t="shared" si="26"/>
        <v>0</v>
      </c>
      <c r="T78">
        <f t="shared" si="27"/>
        <v>0</v>
      </c>
      <c r="U78">
        <f t="shared" si="28"/>
        <v>0</v>
      </c>
      <c r="V78">
        <f t="shared" si="29"/>
        <v>0</v>
      </c>
    </row>
    <row r="79" spans="1:22" x14ac:dyDescent="0.3">
      <c r="A79" t="s">
        <v>22</v>
      </c>
      <c r="B79">
        <v>2004</v>
      </c>
      <c r="C79">
        <v>3</v>
      </c>
      <c r="D79" t="str">
        <f t="shared" si="15"/>
        <v>2004-03</v>
      </c>
      <c r="E79" s="2">
        <f>IF(MOD(ROW()-2,2)=0, INDEX('[1]2310008001-eng'!$B$13:$B$288, (ROW()-2)/2+1), INDEX('[1]2310008001-eng'!$C$13:$C$288, (ROW()-2)/2+1))*1000</f>
        <v>1264499000</v>
      </c>
      <c r="F79" s="2">
        <f>IF(MOD(ROW()-2,2)=0, INDEX('[2]1710000901-eng'!$B$12:$B$73, INT((ROW()-2)/6)+1), INDEX('[2]1710000901-eng'!$C$12:$C$73, INT((ROW()-2)/6)+1))</f>
        <v>12303516</v>
      </c>
      <c r="G79">
        <f t="shared" si="16"/>
        <v>102.77541801871921</v>
      </c>
      <c r="H79">
        <v>0</v>
      </c>
      <c r="I79">
        <v>0</v>
      </c>
      <c r="J79">
        <f t="shared" si="17"/>
        <v>0</v>
      </c>
      <c r="K79">
        <f t="shared" si="18"/>
        <v>0</v>
      </c>
      <c r="L79">
        <f t="shared" si="19"/>
        <v>0</v>
      </c>
      <c r="M79">
        <f t="shared" si="20"/>
        <v>1</v>
      </c>
      <c r="N79">
        <f t="shared" si="21"/>
        <v>0</v>
      </c>
      <c r="O79">
        <f t="shared" si="22"/>
        <v>0</v>
      </c>
      <c r="P79">
        <f t="shared" si="23"/>
        <v>0</v>
      </c>
      <c r="Q79">
        <f t="shared" si="24"/>
        <v>0</v>
      </c>
      <c r="R79">
        <f t="shared" si="25"/>
        <v>0</v>
      </c>
      <c r="S79">
        <f t="shared" si="26"/>
        <v>0</v>
      </c>
      <c r="T79">
        <f t="shared" si="27"/>
        <v>0</v>
      </c>
      <c r="U79">
        <f t="shared" si="28"/>
        <v>0</v>
      </c>
      <c r="V79">
        <f t="shared" si="29"/>
        <v>0</v>
      </c>
    </row>
    <row r="80" spans="1:22" x14ac:dyDescent="0.3">
      <c r="A80" t="s">
        <v>7</v>
      </c>
      <c r="B80">
        <v>2004</v>
      </c>
      <c r="C80">
        <v>4</v>
      </c>
      <c r="D80" t="str">
        <f t="shared" si="15"/>
        <v>2004-04</v>
      </c>
      <c r="E80" s="2">
        <f>IF(MOD(ROW()-2,2)=0, INDEX('[1]2310008001-eng'!$B$13:$B$288, (ROW()-2)/2+1), INDEX('[1]2310008001-eng'!$C$13:$C$288, (ROW()-2)/2+1))*1000</f>
        <v>655654000</v>
      </c>
      <c r="F80" s="2">
        <f>IF(MOD(ROW()-2,2)=0, INDEX('[2]1710000901-eng'!$B$12:$B$73, INT((ROW()-2)/6)+1), INDEX('[2]1710000901-eng'!$C$12:$C$73, INT((ROW()-2)/6)+1))</f>
        <v>7520109</v>
      </c>
      <c r="G80">
        <f t="shared" si="16"/>
        <v>87.186768170514554</v>
      </c>
      <c r="H80">
        <v>1</v>
      </c>
      <c r="I80">
        <v>0</v>
      </c>
      <c r="J80">
        <f t="shared" si="17"/>
        <v>0</v>
      </c>
      <c r="K80">
        <f t="shared" si="18"/>
        <v>0</v>
      </c>
      <c r="L80">
        <f t="shared" si="19"/>
        <v>0</v>
      </c>
      <c r="M80">
        <f t="shared" si="20"/>
        <v>0</v>
      </c>
      <c r="N80">
        <f t="shared" si="21"/>
        <v>1</v>
      </c>
      <c r="O80">
        <f t="shared" si="22"/>
        <v>0</v>
      </c>
      <c r="P80">
        <f t="shared" si="23"/>
        <v>0</v>
      </c>
      <c r="Q80">
        <f t="shared" si="24"/>
        <v>0</v>
      </c>
      <c r="R80">
        <f t="shared" si="25"/>
        <v>0</v>
      </c>
      <c r="S80">
        <f t="shared" si="26"/>
        <v>0</v>
      </c>
      <c r="T80">
        <f t="shared" si="27"/>
        <v>0</v>
      </c>
      <c r="U80">
        <f t="shared" si="28"/>
        <v>0</v>
      </c>
      <c r="V80">
        <f t="shared" si="29"/>
        <v>0</v>
      </c>
    </row>
    <row r="81" spans="1:22" x14ac:dyDescent="0.3">
      <c r="A81" t="s">
        <v>22</v>
      </c>
      <c r="B81">
        <v>2004</v>
      </c>
      <c r="C81">
        <v>4</v>
      </c>
      <c r="D81" t="str">
        <f t="shared" si="15"/>
        <v>2004-04</v>
      </c>
      <c r="E81" s="2">
        <f>IF(MOD(ROW()-2,2)=0, INDEX('[1]2310008001-eng'!$B$13:$B$288, (ROW()-2)/2+1), INDEX('[1]2310008001-eng'!$C$13:$C$288, (ROW()-2)/2+1))*1000</f>
        <v>1230486000</v>
      </c>
      <c r="F81" s="2">
        <f>IF(MOD(ROW()-2,2)=0, INDEX('[2]1710000901-eng'!$B$12:$B$73, INT((ROW()-2)/6)+1), INDEX('[2]1710000901-eng'!$C$12:$C$73, INT((ROW()-2)/6)+1))</f>
        <v>12339813</v>
      </c>
      <c r="G81">
        <f t="shared" si="16"/>
        <v>99.716746112765236</v>
      </c>
      <c r="H81">
        <v>0</v>
      </c>
      <c r="I81">
        <v>0</v>
      </c>
      <c r="J81">
        <f t="shared" si="17"/>
        <v>0</v>
      </c>
      <c r="K81">
        <f t="shared" si="18"/>
        <v>0</v>
      </c>
      <c r="L81">
        <f t="shared" si="19"/>
        <v>0</v>
      </c>
      <c r="M81">
        <f t="shared" si="20"/>
        <v>0</v>
      </c>
      <c r="N81">
        <f t="shared" si="21"/>
        <v>1</v>
      </c>
      <c r="O81">
        <f t="shared" si="22"/>
        <v>0</v>
      </c>
      <c r="P81">
        <f t="shared" si="23"/>
        <v>0</v>
      </c>
      <c r="Q81">
        <f t="shared" si="24"/>
        <v>0</v>
      </c>
      <c r="R81">
        <f t="shared" si="25"/>
        <v>0</v>
      </c>
      <c r="S81">
        <f t="shared" si="26"/>
        <v>0</v>
      </c>
      <c r="T81">
        <f t="shared" si="27"/>
        <v>0</v>
      </c>
      <c r="U81">
        <f t="shared" si="28"/>
        <v>0</v>
      </c>
      <c r="V81">
        <f t="shared" si="29"/>
        <v>0</v>
      </c>
    </row>
    <row r="82" spans="1:22" x14ac:dyDescent="0.3">
      <c r="A82" t="s">
        <v>7</v>
      </c>
      <c r="B82">
        <v>2004</v>
      </c>
      <c r="C82">
        <v>5</v>
      </c>
      <c r="D82" t="str">
        <f t="shared" si="15"/>
        <v>2004-05</v>
      </c>
      <c r="E82" s="2">
        <f>IF(MOD(ROW()-2,2)=0, INDEX('[1]2310008001-eng'!$B$13:$B$288, (ROW()-2)/2+1), INDEX('[1]2310008001-eng'!$C$13:$C$288, (ROW()-2)/2+1))*1000</f>
        <v>686656000</v>
      </c>
      <c r="F82" s="2">
        <f>IF(MOD(ROW()-2,2)=0, INDEX('[2]1710000901-eng'!$B$12:$B$73, INT((ROW()-2)/6)+1), INDEX('[2]1710000901-eng'!$C$12:$C$73, INT((ROW()-2)/6)+1))</f>
        <v>7520109</v>
      </c>
      <c r="G82">
        <f t="shared" si="16"/>
        <v>91.309314798495606</v>
      </c>
      <c r="H82">
        <v>1</v>
      </c>
      <c r="I82">
        <v>0</v>
      </c>
      <c r="J82">
        <f t="shared" si="17"/>
        <v>0</v>
      </c>
      <c r="K82">
        <f t="shared" si="18"/>
        <v>0</v>
      </c>
      <c r="L82">
        <f t="shared" si="19"/>
        <v>0</v>
      </c>
      <c r="M82">
        <f t="shared" si="20"/>
        <v>0</v>
      </c>
      <c r="N82">
        <f t="shared" si="21"/>
        <v>0</v>
      </c>
      <c r="O82">
        <f t="shared" si="22"/>
        <v>1</v>
      </c>
      <c r="P82">
        <f t="shared" si="23"/>
        <v>0</v>
      </c>
      <c r="Q82">
        <f t="shared" si="24"/>
        <v>0</v>
      </c>
      <c r="R82">
        <f t="shared" si="25"/>
        <v>0</v>
      </c>
      <c r="S82">
        <f t="shared" si="26"/>
        <v>0</v>
      </c>
      <c r="T82">
        <f t="shared" si="27"/>
        <v>0</v>
      </c>
      <c r="U82">
        <f t="shared" si="28"/>
        <v>0</v>
      </c>
      <c r="V82">
        <f t="shared" si="29"/>
        <v>0</v>
      </c>
    </row>
    <row r="83" spans="1:22" x14ac:dyDescent="0.3">
      <c r="A83" t="s">
        <v>22</v>
      </c>
      <c r="B83">
        <v>2004</v>
      </c>
      <c r="C83">
        <v>5</v>
      </c>
      <c r="D83" t="str">
        <f t="shared" si="15"/>
        <v>2004-05</v>
      </c>
      <c r="E83" s="2">
        <f>IF(MOD(ROW()-2,2)=0, INDEX('[1]2310008001-eng'!$B$13:$B$288, (ROW()-2)/2+1), INDEX('[1]2310008001-eng'!$C$13:$C$288, (ROW()-2)/2+1))*1000</f>
        <v>1349851000</v>
      </c>
      <c r="F83" s="2">
        <f>IF(MOD(ROW()-2,2)=0, INDEX('[2]1710000901-eng'!$B$12:$B$73, INT((ROW()-2)/6)+1), INDEX('[2]1710000901-eng'!$C$12:$C$73, INT((ROW()-2)/6)+1))</f>
        <v>12339813</v>
      </c>
      <c r="G83">
        <f t="shared" si="16"/>
        <v>109.38990728627735</v>
      </c>
      <c r="H83">
        <v>0</v>
      </c>
      <c r="I83">
        <v>0</v>
      </c>
      <c r="J83">
        <f t="shared" si="17"/>
        <v>0</v>
      </c>
      <c r="K83">
        <f t="shared" si="18"/>
        <v>0</v>
      </c>
      <c r="L83">
        <f t="shared" si="19"/>
        <v>0</v>
      </c>
      <c r="M83">
        <f t="shared" si="20"/>
        <v>0</v>
      </c>
      <c r="N83">
        <f t="shared" si="21"/>
        <v>0</v>
      </c>
      <c r="O83">
        <f t="shared" si="22"/>
        <v>1</v>
      </c>
      <c r="P83">
        <f t="shared" si="23"/>
        <v>0</v>
      </c>
      <c r="Q83">
        <f t="shared" si="24"/>
        <v>0</v>
      </c>
      <c r="R83">
        <f t="shared" si="25"/>
        <v>0</v>
      </c>
      <c r="S83">
        <f t="shared" si="26"/>
        <v>0</v>
      </c>
      <c r="T83">
        <f t="shared" si="27"/>
        <v>0</v>
      </c>
      <c r="U83">
        <f t="shared" si="28"/>
        <v>0</v>
      </c>
      <c r="V83">
        <f t="shared" si="29"/>
        <v>0</v>
      </c>
    </row>
    <row r="84" spans="1:22" x14ac:dyDescent="0.3">
      <c r="A84" t="s">
        <v>7</v>
      </c>
      <c r="B84">
        <v>2004</v>
      </c>
      <c r="C84">
        <v>6</v>
      </c>
      <c r="D84" t="str">
        <f t="shared" si="15"/>
        <v>2004-06</v>
      </c>
      <c r="E84" s="2">
        <f>IF(MOD(ROW()-2,2)=0, INDEX('[1]2310008001-eng'!$B$13:$B$288, (ROW()-2)/2+1), INDEX('[1]2310008001-eng'!$C$13:$C$288, (ROW()-2)/2+1))*1000</f>
        <v>705342000</v>
      </c>
      <c r="F84" s="2">
        <f>IF(MOD(ROW()-2,2)=0, INDEX('[2]1710000901-eng'!$B$12:$B$73, INT((ROW()-2)/6)+1), INDEX('[2]1710000901-eng'!$C$12:$C$73, INT((ROW()-2)/6)+1))</f>
        <v>7520109</v>
      </c>
      <c r="G84">
        <f t="shared" si="16"/>
        <v>93.794119207580636</v>
      </c>
      <c r="H84">
        <v>1</v>
      </c>
      <c r="I84">
        <v>0</v>
      </c>
      <c r="J84">
        <f t="shared" si="17"/>
        <v>0</v>
      </c>
      <c r="K84">
        <f t="shared" si="18"/>
        <v>0</v>
      </c>
      <c r="L84">
        <f t="shared" si="19"/>
        <v>0</v>
      </c>
      <c r="M84">
        <f t="shared" si="20"/>
        <v>0</v>
      </c>
      <c r="N84">
        <f t="shared" si="21"/>
        <v>0</v>
      </c>
      <c r="O84">
        <f t="shared" si="22"/>
        <v>0</v>
      </c>
      <c r="P84">
        <f t="shared" si="23"/>
        <v>1</v>
      </c>
      <c r="Q84">
        <f t="shared" si="24"/>
        <v>0</v>
      </c>
      <c r="R84">
        <f t="shared" si="25"/>
        <v>0</v>
      </c>
      <c r="S84">
        <f t="shared" si="26"/>
        <v>0</v>
      </c>
      <c r="T84">
        <f t="shared" si="27"/>
        <v>0</v>
      </c>
      <c r="U84">
        <f t="shared" si="28"/>
        <v>0</v>
      </c>
      <c r="V84">
        <f t="shared" si="29"/>
        <v>0</v>
      </c>
    </row>
    <row r="85" spans="1:22" x14ac:dyDescent="0.3">
      <c r="A85" t="s">
        <v>22</v>
      </c>
      <c r="B85">
        <v>2004</v>
      </c>
      <c r="C85">
        <v>6</v>
      </c>
      <c r="D85" t="str">
        <f t="shared" si="15"/>
        <v>2004-06</v>
      </c>
      <c r="E85" s="2">
        <f>IF(MOD(ROW()-2,2)=0, INDEX('[1]2310008001-eng'!$B$13:$B$288, (ROW()-2)/2+1), INDEX('[1]2310008001-eng'!$C$13:$C$288, (ROW()-2)/2+1))*1000</f>
        <v>1323687000</v>
      </c>
      <c r="F85" s="2">
        <f>IF(MOD(ROW()-2,2)=0, INDEX('[2]1710000901-eng'!$B$12:$B$73, INT((ROW()-2)/6)+1), INDEX('[2]1710000901-eng'!$C$12:$C$73, INT((ROW()-2)/6)+1))</f>
        <v>12339813</v>
      </c>
      <c r="G85">
        <f t="shared" si="16"/>
        <v>107.26961583615571</v>
      </c>
      <c r="H85">
        <v>0</v>
      </c>
      <c r="I85">
        <v>0</v>
      </c>
      <c r="J85">
        <f t="shared" si="17"/>
        <v>0</v>
      </c>
      <c r="K85">
        <f t="shared" si="18"/>
        <v>0</v>
      </c>
      <c r="L85">
        <f t="shared" si="19"/>
        <v>0</v>
      </c>
      <c r="M85">
        <f t="shared" si="20"/>
        <v>0</v>
      </c>
      <c r="N85">
        <f t="shared" si="21"/>
        <v>0</v>
      </c>
      <c r="O85">
        <f t="shared" si="22"/>
        <v>0</v>
      </c>
      <c r="P85">
        <f t="shared" si="23"/>
        <v>1</v>
      </c>
      <c r="Q85">
        <f t="shared" si="24"/>
        <v>0</v>
      </c>
      <c r="R85">
        <f t="shared" si="25"/>
        <v>0</v>
      </c>
      <c r="S85">
        <f t="shared" si="26"/>
        <v>0</v>
      </c>
      <c r="T85">
        <f t="shared" si="27"/>
        <v>0</v>
      </c>
      <c r="U85">
        <f t="shared" si="28"/>
        <v>0</v>
      </c>
      <c r="V85">
        <f t="shared" si="29"/>
        <v>0</v>
      </c>
    </row>
    <row r="86" spans="1:22" x14ac:dyDescent="0.3">
      <c r="A86" t="s">
        <v>7</v>
      </c>
      <c r="B86">
        <v>2004</v>
      </c>
      <c r="C86">
        <v>7</v>
      </c>
      <c r="D86" t="str">
        <f t="shared" si="15"/>
        <v>2004-07</v>
      </c>
      <c r="E86" s="2">
        <f>IF(MOD(ROW()-2,2)=0, INDEX('[1]2310008001-eng'!$B$13:$B$288, (ROW()-2)/2+1), INDEX('[1]2310008001-eng'!$C$13:$C$288, (ROW()-2)/2+1))*1000</f>
        <v>729084000</v>
      </c>
      <c r="F86" s="2">
        <f>IF(MOD(ROW()-2,2)=0, INDEX('[2]1710000901-eng'!$B$12:$B$73, INT((ROW()-2)/6)+1), INDEX('[2]1710000901-eng'!$C$12:$C$73, INT((ROW()-2)/6)+1))</f>
        <v>7535483</v>
      </c>
      <c r="G86">
        <f t="shared" si="16"/>
        <v>96.753452963798068</v>
      </c>
      <c r="H86">
        <v>1</v>
      </c>
      <c r="I86">
        <v>0</v>
      </c>
      <c r="J86">
        <f t="shared" si="17"/>
        <v>0</v>
      </c>
      <c r="K86">
        <f t="shared" si="18"/>
        <v>0</v>
      </c>
      <c r="L86">
        <f t="shared" si="19"/>
        <v>0</v>
      </c>
      <c r="M86">
        <f t="shared" si="20"/>
        <v>0</v>
      </c>
      <c r="N86">
        <f t="shared" si="21"/>
        <v>0</v>
      </c>
      <c r="O86">
        <f t="shared" si="22"/>
        <v>0</v>
      </c>
      <c r="P86">
        <f t="shared" si="23"/>
        <v>0</v>
      </c>
      <c r="Q86">
        <f t="shared" si="24"/>
        <v>1</v>
      </c>
      <c r="R86">
        <f t="shared" si="25"/>
        <v>0</v>
      </c>
      <c r="S86">
        <f t="shared" si="26"/>
        <v>0</v>
      </c>
      <c r="T86">
        <f t="shared" si="27"/>
        <v>0</v>
      </c>
      <c r="U86">
        <f t="shared" si="28"/>
        <v>0</v>
      </c>
      <c r="V86">
        <f t="shared" si="29"/>
        <v>0</v>
      </c>
    </row>
    <row r="87" spans="1:22" x14ac:dyDescent="0.3">
      <c r="A87" t="s">
        <v>22</v>
      </c>
      <c r="B87">
        <v>2004</v>
      </c>
      <c r="C87">
        <v>7</v>
      </c>
      <c r="D87" t="str">
        <f t="shared" si="15"/>
        <v>2004-07</v>
      </c>
      <c r="E87" s="2">
        <f>IF(MOD(ROW()-2,2)=0, INDEX('[1]2310008001-eng'!$B$13:$B$288, (ROW()-2)/2+1), INDEX('[1]2310008001-eng'!$C$13:$C$288, (ROW()-2)/2+1))*1000</f>
        <v>1359213000</v>
      </c>
      <c r="F87" s="2">
        <f>IF(MOD(ROW()-2,2)=0, INDEX('[2]1710000901-eng'!$B$12:$B$73, INT((ROW()-2)/6)+1), INDEX('[2]1710000901-eng'!$C$12:$C$73, INT((ROW()-2)/6)+1))</f>
        <v>12389641</v>
      </c>
      <c r="G87">
        <f t="shared" si="16"/>
        <v>109.70560002505319</v>
      </c>
      <c r="H87">
        <v>0</v>
      </c>
      <c r="I87">
        <v>0</v>
      </c>
      <c r="J87">
        <f t="shared" si="17"/>
        <v>0</v>
      </c>
      <c r="K87">
        <f t="shared" si="18"/>
        <v>0</v>
      </c>
      <c r="L87">
        <f t="shared" si="19"/>
        <v>0</v>
      </c>
      <c r="M87">
        <f t="shared" si="20"/>
        <v>0</v>
      </c>
      <c r="N87">
        <f t="shared" si="21"/>
        <v>0</v>
      </c>
      <c r="O87">
        <f t="shared" si="22"/>
        <v>0</v>
      </c>
      <c r="P87">
        <f t="shared" si="23"/>
        <v>0</v>
      </c>
      <c r="Q87">
        <f t="shared" si="24"/>
        <v>1</v>
      </c>
      <c r="R87">
        <f t="shared" si="25"/>
        <v>0</v>
      </c>
      <c r="S87">
        <f t="shared" si="26"/>
        <v>0</v>
      </c>
      <c r="T87">
        <f t="shared" si="27"/>
        <v>0</v>
      </c>
      <c r="U87">
        <f t="shared" si="28"/>
        <v>0</v>
      </c>
      <c r="V87">
        <f t="shared" si="29"/>
        <v>0</v>
      </c>
    </row>
    <row r="88" spans="1:22" x14ac:dyDescent="0.3">
      <c r="A88" t="s">
        <v>7</v>
      </c>
      <c r="B88">
        <v>2004</v>
      </c>
      <c r="C88">
        <v>8</v>
      </c>
      <c r="D88" t="str">
        <f t="shared" si="15"/>
        <v>2004-08</v>
      </c>
      <c r="E88" s="2">
        <f>IF(MOD(ROW()-2,2)=0, INDEX('[1]2310008001-eng'!$B$13:$B$288, (ROW()-2)/2+1), INDEX('[1]2310008001-eng'!$C$13:$C$288, (ROW()-2)/2+1))*1000</f>
        <v>725860000</v>
      </c>
      <c r="F88" s="2">
        <f>IF(MOD(ROW()-2,2)=0, INDEX('[2]1710000901-eng'!$B$12:$B$73, INT((ROW()-2)/6)+1), INDEX('[2]1710000901-eng'!$C$12:$C$73, INT((ROW()-2)/6)+1))</f>
        <v>7535483</v>
      </c>
      <c r="G88">
        <f t="shared" si="16"/>
        <v>96.325610448593679</v>
      </c>
      <c r="H88">
        <v>1</v>
      </c>
      <c r="I88">
        <v>0</v>
      </c>
      <c r="J88">
        <f t="shared" si="17"/>
        <v>0</v>
      </c>
      <c r="K88">
        <f t="shared" si="18"/>
        <v>0</v>
      </c>
      <c r="L88">
        <f t="shared" si="19"/>
        <v>0</v>
      </c>
      <c r="M88">
        <f t="shared" si="20"/>
        <v>0</v>
      </c>
      <c r="N88">
        <f t="shared" si="21"/>
        <v>0</v>
      </c>
      <c r="O88">
        <f t="shared" si="22"/>
        <v>0</v>
      </c>
      <c r="P88">
        <f t="shared" si="23"/>
        <v>0</v>
      </c>
      <c r="Q88">
        <f t="shared" si="24"/>
        <v>0</v>
      </c>
      <c r="R88">
        <f t="shared" si="25"/>
        <v>1</v>
      </c>
      <c r="S88">
        <f t="shared" si="26"/>
        <v>0</v>
      </c>
      <c r="T88">
        <f t="shared" si="27"/>
        <v>0</v>
      </c>
      <c r="U88">
        <f t="shared" si="28"/>
        <v>0</v>
      </c>
      <c r="V88">
        <f t="shared" si="29"/>
        <v>0</v>
      </c>
    </row>
    <row r="89" spans="1:22" x14ac:dyDescent="0.3">
      <c r="A89" t="s">
        <v>22</v>
      </c>
      <c r="B89">
        <v>2004</v>
      </c>
      <c r="C89">
        <v>8</v>
      </c>
      <c r="D89" t="str">
        <f t="shared" si="15"/>
        <v>2004-08</v>
      </c>
      <c r="E89" s="2">
        <f>IF(MOD(ROW()-2,2)=0, INDEX('[1]2310008001-eng'!$B$13:$B$288, (ROW()-2)/2+1), INDEX('[1]2310008001-eng'!$C$13:$C$288, (ROW()-2)/2+1))*1000</f>
        <v>1344832000</v>
      </c>
      <c r="F89" s="2">
        <f>IF(MOD(ROW()-2,2)=0, INDEX('[2]1710000901-eng'!$B$12:$B$73, INT((ROW()-2)/6)+1), INDEX('[2]1710000901-eng'!$C$12:$C$73, INT((ROW()-2)/6)+1))</f>
        <v>12389641</v>
      </c>
      <c r="G89">
        <f t="shared" si="16"/>
        <v>108.5448722848386</v>
      </c>
      <c r="H89">
        <v>0</v>
      </c>
      <c r="I89">
        <v>0</v>
      </c>
      <c r="J89">
        <f t="shared" si="17"/>
        <v>0</v>
      </c>
      <c r="K89">
        <f t="shared" si="18"/>
        <v>0</v>
      </c>
      <c r="L89">
        <f t="shared" si="19"/>
        <v>0</v>
      </c>
      <c r="M89">
        <f t="shared" si="20"/>
        <v>0</v>
      </c>
      <c r="N89">
        <f t="shared" si="21"/>
        <v>0</v>
      </c>
      <c r="O89">
        <f t="shared" si="22"/>
        <v>0</v>
      </c>
      <c r="P89">
        <f t="shared" si="23"/>
        <v>0</v>
      </c>
      <c r="Q89">
        <f t="shared" si="24"/>
        <v>0</v>
      </c>
      <c r="R89">
        <f t="shared" si="25"/>
        <v>1</v>
      </c>
      <c r="S89">
        <f t="shared" si="26"/>
        <v>0</v>
      </c>
      <c r="T89">
        <f t="shared" si="27"/>
        <v>0</v>
      </c>
      <c r="U89">
        <f t="shared" si="28"/>
        <v>0</v>
      </c>
      <c r="V89">
        <f t="shared" si="29"/>
        <v>0</v>
      </c>
    </row>
    <row r="90" spans="1:22" x14ac:dyDescent="0.3">
      <c r="A90" t="s">
        <v>7</v>
      </c>
      <c r="B90">
        <v>2004</v>
      </c>
      <c r="C90">
        <v>9</v>
      </c>
      <c r="D90" t="str">
        <f t="shared" si="15"/>
        <v>2004-09</v>
      </c>
      <c r="E90" s="2">
        <f>IF(MOD(ROW()-2,2)=0, INDEX('[1]2310008001-eng'!$B$13:$B$288, (ROW()-2)/2+1), INDEX('[1]2310008001-eng'!$C$13:$C$288, (ROW()-2)/2+1))*1000</f>
        <v>686283000</v>
      </c>
      <c r="F90" s="2">
        <f>IF(MOD(ROW()-2,2)=0, INDEX('[2]1710000901-eng'!$B$12:$B$73, INT((ROW()-2)/6)+1), INDEX('[2]1710000901-eng'!$C$12:$C$73, INT((ROW()-2)/6)+1))</f>
        <v>7535483</v>
      </c>
      <c r="G90">
        <f t="shared" si="16"/>
        <v>91.073525081272166</v>
      </c>
      <c r="H90">
        <v>1</v>
      </c>
      <c r="I90">
        <v>0</v>
      </c>
      <c r="J90">
        <f t="shared" si="17"/>
        <v>0</v>
      </c>
      <c r="K90">
        <f t="shared" si="18"/>
        <v>0</v>
      </c>
      <c r="L90">
        <f t="shared" si="19"/>
        <v>0</v>
      </c>
      <c r="M90">
        <f t="shared" si="20"/>
        <v>0</v>
      </c>
      <c r="N90">
        <f t="shared" si="21"/>
        <v>0</v>
      </c>
      <c r="O90">
        <f t="shared" si="22"/>
        <v>0</v>
      </c>
      <c r="P90">
        <f t="shared" si="23"/>
        <v>0</v>
      </c>
      <c r="Q90">
        <f t="shared" si="24"/>
        <v>0</v>
      </c>
      <c r="R90">
        <f t="shared" si="25"/>
        <v>0</v>
      </c>
      <c r="S90">
        <f t="shared" si="26"/>
        <v>1</v>
      </c>
      <c r="T90">
        <f t="shared" si="27"/>
        <v>0</v>
      </c>
      <c r="U90">
        <f t="shared" si="28"/>
        <v>0</v>
      </c>
      <c r="V90">
        <f t="shared" si="29"/>
        <v>0</v>
      </c>
    </row>
    <row r="91" spans="1:22" x14ac:dyDescent="0.3">
      <c r="A91" t="s">
        <v>22</v>
      </c>
      <c r="B91">
        <v>2004</v>
      </c>
      <c r="C91">
        <v>9</v>
      </c>
      <c r="D91" t="str">
        <f t="shared" si="15"/>
        <v>2004-09</v>
      </c>
      <c r="E91" s="2">
        <f>IF(MOD(ROW()-2,2)=0, INDEX('[1]2310008001-eng'!$B$13:$B$288, (ROW()-2)/2+1), INDEX('[1]2310008001-eng'!$C$13:$C$288, (ROW()-2)/2+1))*1000</f>
        <v>1274474000</v>
      </c>
      <c r="F91" s="2">
        <f>IF(MOD(ROW()-2,2)=0, INDEX('[2]1710000901-eng'!$B$12:$B$73, INT((ROW()-2)/6)+1), INDEX('[2]1710000901-eng'!$C$12:$C$73, INT((ROW()-2)/6)+1))</f>
        <v>12389641</v>
      </c>
      <c r="G91">
        <f t="shared" si="16"/>
        <v>102.86609595871261</v>
      </c>
      <c r="H91">
        <v>0</v>
      </c>
      <c r="I91">
        <v>0</v>
      </c>
      <c r="J91">
        <f t="shared" si="17"/>
        <v>0</v>
      </c>
      <c r="K91">
        <f t="shared" si="18"/>
        <v>0</v>
      </c>
      <c r="L91">
        <f t="shared" si="19"/>
        <v>0</v>
      </c>
      <c r="M91">
        <f t="shared" si="20"/>
        <v>0</v>
      </c>
      <c r="N91">
        <f t="shared" si="21"/>
        <v>0</v>
      </c>
      <c r="O91">
        <f t="shared" si="22"/>
        <v>0</v>
      </c>
      <c r="P91">
        <f t="shared" si="23"/>
        <v>0</v>
      </c>
      <c r="Q91">
        <f t="shared" si="24"/>
        <v>0</v>
      </c>
      <c r="R91">
        <f t="shared" si="25"/>
        <v>0</v>
      </c>
      <c r="S91">
        <f t="shared" si="26"/>
        <v>1</v>
      </c>
      <c r="T91">
        <f t="shared" si="27"/>
        <v>0</v>
      </c>
      <c r="U91">
        <f t="shared" si="28"/>
        <v>0</v>
      </c>
      <c r="V91">
        <f t="shared" si="29"/>
        <v>0</v>
      </c>
    </row>
    <row r="92" spans="1:22" x14ac:dyDescent="0.3">
      <c r="A92" t="s">
        <v>7</v>
      </c>
      <c r="B92">
        <v>2004</v>
      </c>
      <c r="C92">
        <v>10</v>
      </c>
      <c r="D92" t="str">
        <f t="shared" si="15"/>
        <v>2004-10</v>
      </c>
      <c r="E92" s="2">
        <f>IF(MOD(ROW()-2,2)=0, INDEX('[1]2310008001-eng'!$B$13:$B$288, (ROW()-2)/2+1), INDEX('[1]2310008001-eng'!$C$13:$C$288, (ROW()-2)/2+1))*1000</f>
        <v>689518000</v>
      </c>
      <c r="F92" s="2">
        <f>IF(MOD(ROW()-2,2)=0, INDEX('[2]1710000901-eng'!$B$12:$B$73, INT((ROW()-2)/6)+1), INDEX('[2]1710000901-eng'!$C$12:$C$73, INT((ROW()-2)/6)+1))</f>
        <v>7553578</v>
      </c>
      <c r="G92">
        <f t="shared" si="16"/>
        <v>91.283627441194099</v>
      </c>
      <c r="H92">
        <v>1</v>
      </c>
      <c r="I92">
        <v>0</v>
      </c>
      <c r="J92">
        <f t="shared" si="17"/>
        <v>0</v>
      </c>
      <c r="K92">
        <f t="shared" si="18"/>
        <v>0</v>
      </c>
      <c r="L92">
        <f t="shared" si="19"/>
        <v>0</v>
      </c>
      <c r="M92">
        <f t="shared" si="20"/>
        <v>0</v>
      </c>
      <c r="N92">
        <f t="shared" si="21"/>
        <v>0</v>
      </c>
      <c r="O92">
        <f t="shared" si="22"/>
        <v>0</v>
      </c>
      <c r="P92">
        <f t="shared" si="23"/>
        <v>0</v>
      </c>
      <c r="Q92">
        <f t="shared" si="24"/>
        <v>0</v>
      </c>
      <c r="R92">
        <f t="shared" si="25"/>
        <v>0</v>
      </c>
      <c r="S92">
        <f t="shared" si="26"/>
        <v>0</v>
      </c>
      <c r="T92">
        <f t="shared" si="27"/>
        <v>1</v>
      </c>
      <c r="U92">
        <f t="shared" si="28"/>
        <v>0</v>
      </c>
      <c r="V92">
        <f t="shared" si="29"/>
        <v>0</v>
      </c>
    </row>
    <row r="93" spans="1:22" x14ac:dyDescent="0.3">
      <c r="A93" t="s">
        <v>22</v>
      </c>
      <c r="B93">
        <v>2004</v>
      </c>
      <c r="C93">
        <v>10</v>
      </c>
      <c r="D93" t="str">
        <f t="shared" si="15"/>
        <v>2004-10</v>
      </c>
      <c r="E93" s="2">
        <f>IF(MOD(ROW()-2,2)=0, INDEX('[1]2310008001-eng'!$B$13:$B$288, (ROW()-2)/2+1), INDEX('[1]2310008001-eng'!$C$13:$C$288, (ROW()-2)/2+1))*1000</f>
        <v>1319135000</v>
      </c>
      <c r="F93" s="2">
        <f>IF(MOD(ROW()-2,2)=0, INDEX('[2]1710000901-eng'!$B$12:$B$73, INT((ROW()-2)/6)+1), INDEX('[2]1710000901-eng'!$C$12:$C$73, INT((ROW()-2)/6)+1))</f>
        <v>12435931</v>
      </c>
      <c r="G93">
        <f t="shared" si="16"/>
        <v>106.07448690411678</v>
      </c>
      <c r="H93">
        <v>0</v>
      </c>
      <c r="I93">
        <v>0</v>
      </c>
      <c r="J93">
        <f t="shared" si="17"/>
        <v>0</v>
      </c>
      <c r="K93">
        <f t="shared" si="18"/>
        <v>0</v>
      </c>
      <c r="L93">
        <f t="shared" si="19"/>
        <v>0</v>
      </c>
      <c r="M93">
        <f t="shared" si="20"/>
        <v>0</v>
      </c>
      <c r="N93">
        <f t="shared" si="21"/>
        <v>0</v>
      </c>
      <c r="O93">
        <f t="shared" si="22"/>
        <v>0</v>
      </c>
      <c r="P93">
        <f t="shared" si="23"/>
        <v>0</v>
      </c>
      <c r="Q93">
        <f t="shared" si="24"/>
        <v>0</v>
      </c>
      <c r="R93">
        <f t="shared" si="25"/>
        <v>0</v>
      </c>
      <c r="S93">
        <f t="shared" si="26"/>
        <v>0</v>
      </c>
      <c r="T93">
        <f t="shared" si="27"/>
        <v>1</v>
      </c>
      <c r="U93">
        <f t="shared" si="28"/>
        <v>0</v>
      </c>
      <c r="V93">
        <f t="shared" si="29"/>
        <v>0</v>
      </c>
    </row>
    <row r="94" spans="1:22" x14ac:dyDescent="0.3">
      <c r="A94" t="s">
        <v>7</v>
      </c>
      <c r="B94">
        <v>2004</v>
      </c>
      <c r="C94">
        <v>11</v>
      </c>
      <c r="D94" t="str">
        <f t="shared" si="15"/>
        <v>2004-11</v>
      </c>
      <c r="E94" s="2">
        <f>IF(MOD(ROW()-2,2)=0, INDEX('[1]2310008001-eng'!$B$13:$B$288, (ROW()-2)/2+1), INDEX('[1]2310008001-eng'!$C$13:$C$288, (ROW()-2)/2+1))*1000</f>
        <v>672656000</v>
      </c>
      <c r="F94" s="2">
        <f>IF(MOD(ROW()-2,2)=0, INDEX('[2]1710000901-eng'!$B$12:$B$73, INT((ROW()-2)/6)+1), INDEX('[2]1710000901-eng'!$C$12:$C$73, INT((ROW()-2)/6)+1))</f>
        <v>7553578</v>
      </c>
      <c r="G94">
        <f t="shared" si="16"/>
        <v>89.051307870256977</v>
      </c>
      <c r="H94">
        <v>1</v>
      </c>
      <c r="I94">
        <v>0</v>
      </c>
      <c r="J94">
        <f t="shared" si="17"/>
        <v>0</v>
      </c>
      <c r="K94">
        <f t="shared" si="18"/>
        <v>0</v>
      </c>
      <c r="L94">
        <f t="shared" si="19"/>
        <v>0</v>
      </c>
      <c r="M94">
        <f t="shared" si="20"/>
        <v>0</v>
      </c>
      <c r="N94">
        <f t="shared" si="21"/>
        <v>0</v>
      </c>
      <c r="O94">
        <f t="shared" si="22"/>
        <v>0</v>
      </c>
      <c r="P94">
        <f t="shared" si="23"/>
        <v>0</v>
      </c>
      <c r="Q94">
        <f t="shared" si="24"/>
        <v>0</v>
      </c>
      <c r="R94">
        <f t="shared" si="25"/>
        <v>0</v>
      </c>
      <c r="S94">
        <f t="shared" si="26"/>
        <v>0</v>
      </c>
      <c r="T94">
        <f t="shared" si="27"/>
        <v>0</v>
      </c>
      <c r="U94">
        <f t="shared" si="28"/>
        <v>1</v>
      </c>
      <c r="V94">
        <f t="shared" si="29"/>
        <v>0</v>
      </c>
    </row>
    <row r="95" spans="1:22" x14ac:dyDescent="0.3">
      <c r="A95" t="s">
        <v>22</v>
      </c>
      <c r="B95">
        <v>2004</v>
      </c>
      <c r="C95">
        <v>11</v>
      </c>
      <c r="D95" t="str">
        <f t="shared" si="15"/>
        <v>2004-11</v>
      </c>
      <c r="E95" s="2">
        <f>IF(MOD(ROW()-2,2)=0, INDEX('[1]2310008001-eng'!$B$13:$B$288, (ROW()-2)/2+1), INDEX('[1]2310008001-eng'!$C$13:$C$288, (ROW()-2)/2+1))*1000</f>
        <v>1279635000</v>
      </c>
      <c r="F95" s="2">
        <f>IF(MOD(ROW()-2,2)=0, INDEX('[2]1710000901-eng'!$B$12:$B$73, INT((ROW()-2)/6)+1), INDEX('[2]1710000901-eng'!$C$12:$C$73, INT((ROW()-2)/6)+1))</f>
        <v>12435931</v>
      </c>
      <c r="G95">
        <f t="shared" si="16"/>
        <v>102.89820681700469</v>
      </c>
      <c r="H95">
        <v>0</v>
      </c>
      <c r="I95">
        <v>0</v>
      </c>
      <c r="J95">
        <f t="shared" si="17"/>
        <v>0</v>
      </c>
      <c r="K95">
        <f t="shared" si="18"/>
        <v>0</v>
      </c>
      <c r="L95">
        <f t="shared" si="19"/>
        <v>0</v>
      </c>
      <c r="M95">
        <f t="shared" si="20"/>
        <v>0</v>
      </c>
      <c r="N95">
        <f t="shared" si="21"/>
        <v>0</v>
      </c>
      <c r="O95">
        <f t="shared" si="22"/>
        <v>0</v>
      </c>
      <c r="P95">
        <f t="shared" si="23"/>
        <v>0</v>
      </c>
      <c r="Q95">
        <f t="shared" si="24"/>
        <v>0</v>
      </c>
      <c r="R95">
        <f t="shared" si="25"/>
        <v>0</v>
      </c>
      <c r="S95">
        <f t="shared" si="26"/>
        <v>0</v>
      </c>
      <c r="T95">
        <f t="shared" si="27"/>
        <v>0</v>
      </c>
      <c r="U95">
        <f t="shared" si="28"/>
        <v>1</v>
      </c>
      <c r="V95">
        <f t="shared" si="29"/>
        <v>0</v>
      </c>
    </row>
    <row r="96" spans="1:22" x14ac:dyDescent="0.3">
      <c r="A96" t="s">
        <v>7</v>
      </c>
      <c r="B96">
        <v>2004</v>
      </c>
      <c r="C96">
        <v>12</v>
      </c>
      <c r="D96" t="str">
        <f t="shared" si="15"/>
        <v>2004-12</v>
      </c>
      <c r="E96" s="2">
        <f>IF(MOD(ROW()-2,2)=0, INDEX('[1]2310008001-eng'!$B$13:$B$288, (ROW()-2)/2+1), INDEX('[1]2310008001-eng'!$C$13:$C$288, (ROW()-2)/2+1))*1000</f>
        <v>732510000</v>
      </c>
      <c r="F96" s="2">
        <f>IF(MOD(ROW()-2,2)=0, INDEX('[2]1710000901-eng'!$B$12:$B$73, INT((ROW()-2)/6)+1), INDEX('[2]1710000901-eng'!$C$12:$C$73, INT((ROW()-2)/6)+1))</f>
        <v>7553578</v>
      </c>
      <c r="G96">
        <f t="shared" si="16"/>
        <v>96.975234782774464</v>
      </c>
      <c r="H96">
        <v>1</v>
      </c>
      <c r="I96">
        <v>0</v>
      </c>
      <c r="J96">
        <f t="shared" si="17"/>
        <v>0</v>
      </c>
      <c r="K96">
        <f t="shared" si="18"/>
        <v>0</v>
      </c>
      <c r="L96">
        <f t="shared" si="19"/>
        <v>0</v>
      </c>
      <c r="M96">
        <f t="shared" si="20"/>
        <v>0</v>
      </c>
      <c r="N96">
        <f t="shared" si="21"/>
        <v>0</v>
      </c>
      <c r="O96">
        <f t="shared" si="22"/>
        <v>0</v>
      </c>
      <c r="P96">
        <f t="shared" si="23"/>
        <v>0</v>
      </c>
      <c r="Q96">
        <f t="shared" si="24"/>
        <v>0</v>
      </c>
      <c r="R96">
        <f t="shared" si="25"/>
        <v>0</v>
      </c>
      <c r="S96">
        <f t="shared" si="26"/>
        <v>0</v>
      </c>
      <c r="T96">
        <f t="shared" si="27"/>
        <v>0</v>
      </c>
      <c r="U96">
        <f t="shared" si="28"/>
        <v>0</v>
      </c>
      <c r="V96">
        <f t="shared" si="29"/>
        <v>1</v>
      </c>
    </row>
    <row r="97" spans="1:22" x14ac:dyDescent="0.3">
      <c r="A97" t="s">
        <v>22</v>
      </c>
      <c r="B97">
        <v>2004</v>
      </c>
      <c r="C97">
        <v>12</v>
      </c>
      <c r="D97" t="str">
        <f t="shared" si="15"/>
        <v>2004-12</v>
      </c>
      <c r="E97" s="2">
        <f>IF(MOD(ROW()-2,2)=0, INDEX('[1]2310008001-eng'!$B$13:$B$288, (ROW()-2)/2+1), INDEX('[1]2310008001-eng'!$C$13:$C$288, (ROW()-2)/2+1))*1000</f>
        <v>1335666000</v>
      </c>
      <c r="F97" s="2">
        <f>IF(MOD(ROW()-2,2)=0, INDEX('[2]1710000901-eng'!$B$12:$B$73, INT((ROW()-2)/6)+1), INDEX('[2]1710000901-eng'!$C$12:$C$73, INT((ROW()-2)/6)+1))</f>
        <v>12435931</v>
      </c>
      <c r="G97">
        <f t="shared" si="16"/>
        <v>107.40378022361173</v>
      </c>
      <c r="H97">
        <v>0</v>
      </c>
      <c r="I97">
        <v>0</v>
      </c>
      <c r="J97">
        <f t="shared" si="17"/>
        <v>0</v>
      </c>
      <c r="K97">
        <f t="shared" si="18"/>
        <v>0</v>
      </c>
      <c r="L97">
        <f t="shared" si="19"/>
        <v>0</v>
      </c>
      <c r="M97">
        <f t="shared" si="20"/>
        <v>0</v>
      </c>
      <c r="N97">
        <f t="shared" si="21"/>
        <v>0</v>
      </c>
      <c r="O97">
        <f t="shared" si="22"/>
        <v>0</v>
      </c>
      <c r="P97">
        <f t="shared" si="23"/>
        <v>0</v>
      </c>
      <c r="Q97">
        <f t="shared" si="24"/>
        <v>0</v>
      </c>
      <c r="R97">
        <f t="shared" si="25"/>
        <v>0</v>
      </c>
      <c r="S97">
        <f t="shared" si="26"/>
        <v>0</v>
      </c>
      <c r="T97">
        <f t="shared" si="27"/>
        <v>0</v>
      </c>
      <c r="U97">
        <f t="shared" si="28"/>
        <v>0</v>
      </c>
      <c r="V97">
        <f t="shared" si="29"/>
        <v>1</v>
      </c>
    </row>
    <row r="98" spans="1:22" x14ac:dyDescent="0.3">
      <c r="A98" t="s">
        <v>7</v>
      </c>
      <c r="B98">
        <v>2005</v>
      </c>
      <c r="C98">
        <v>1</v>
      </c>
      <c r="D98" t="str">
        <f t="shared" si="15"/>
        <v>2005-01</v>
      </c>
      <c r="E98" s="2">
        <f>IF(MOD(ROW()-2,2)=0, INDEX('[1]2310008001-eng'!$B$13:$B$288, (ROW()-2)/2+1), INDEX('[1]2310008001-eng'!$C$13:$C$288, (ROW()-2)/2+1))*1000</f>
        <v>673405000</v>
      </c>
      <c r="F98" s="2">
        <f>IF(MOD(ROW()-2,2)=0, INDEX('[2]1710000901-eng'!$B$12:$B$73, INT((ROW()-2)/6)+1), INDEX('[2]1710000901-eng'!$C$12:$C$73, INT((ROW()-2)/6)+1))</f>
        <v>7559576</v>
      </c>
      <c r="G98">
        <f t="shared" si="16"/>
        <v>89.079731455838271</v>
      </c>
      <c r="H98">
        <v>1</v>
      </c>
      <c r="I98">
        <v>0</v>
      </c>
      <c r="J98">
        <f t="shared" si="17"/>
        <v>0</v>
      </c>
      <c r="K98">
        <f t="shared" si="18"/>
        <v>1</v>
      </c>
      <c r="L98">
        <f t="shared" si="19"/>
        <v>0</v>
      </c>
      <c r="M98">
        <f t="shared" si="20"/>
        <v>0</v>
      </c>
      <c r="N98">
        <f t="shared" si="21"/>
        <v>0</v>
      </c>
      <c r="O98">
        <f t="shared" si="22"/>
        <v>0</v>
      </c>
      <c r="P98">
        <f t="shared" si="23"/>
        <v>0</v>
      </c>
      <c r="Q98">
        <f t="shared" si="24"/>
        <v>0</v>
      </c>
      <c r="R98">
        <f t="shared" si="25"/>
        <v>0</v>
      </c>
      <c r="S98">
        <f t="shared" si="26"/>
        <v>0</v>
      </c>
      <c r="T98">
        <f t="shared" si="27"/>
        <v>0</v>
      </c>
      <c r="U98">
        <f t="shared" si="28"/>
        <v>0</v>
      </c>
      <c r="V98">
        <f t="shared" si="29"/>
        <v>0</v>
      </c>
    </row>
    <row r="99" spans="1:22" x14ac:dyDescent="0.3">
      <c r="A99" t="s">
        <v>22</v>
      </c>
      <c r="B99">
        <v>2005</v>
      </c>
      <c r="C99">
        <v>1</v>
      </c>
      <c r="D99" t="str">
        <f t="shared" si="15"/>
        <v>2005-01</v>
      </c>
      <c r="E99" s="2">
        <f>IF(MOD(ROW()-2,2)=0, INDEX('[1]2310008001-eng'!$B$13:$B$288, (ROW()-2)/2+1), INDEX('[1]2310008001-eng'!$C$13:$C$288, (ROW()-2)/2+1))*1000</f>
        <v>1228769000</v>
      </c>
      <c r="F99" s="2">
        <f>IF(MOD(ROW()-2,2)=0, INDEX('[2]1710000901-eng'!$B$12:$B$73, INT((ROW()-2)/6)+1), INDEX('[2]1710000901-eng'!$C$12:$C$73, INT((ROW()-2)/6)+1))</f>
        <v>12444755</v>
      </c>
      <c r="G99">
        <f t="shared" si="16"/>
        <v>98.737902031819829</v>
      </c>
      <c r="H99">
        <v>0</v>
      </c>
      <c r="I99">
        <v>0</v>
      </c>
      <c r="J99">
        <f t="shared" si="17"/>
        <v>0</v>
      </c>
      <c r="K99">
        <f t="shared" si="18"/>
        <v>1</v>
      </c>
      <c r="L99">
        <f t="shared" si="19"/>
        <v>0</v>
      </c>
      <c r="M99">
        <f t="shared" si="20"/>
        <v>0</v>
      </c>
      <c r="N99">
        <f t="shared" si="21"/>
        <v>0</v>
      </c>
      <c r="O99">
        <f t="shared" si="22"/>
        <v>0</v>
      </c>
      <c r="P99">
        <f t="shared" si="23"/>
        <v>0</v>
      </c>
      <c r="Q99">
        <f t="shared" si="24"/>
        <v>0</v>
      </c>
      <c r="R99">
        <f t="shared" si="25"/>
        <v>0</v>
      </c>
      <c r="S99">
        <f t="shared" si="26"/>
        <v>0</v>
      </c>
      <c r="T99">
        <f t="shared" si="27"/>
        <v>0</v>
      </c>
      <c r="U99">
        <f t="shared" si="28"/>
        <v>0</v>
      </c>
      <c r="V99">
        <f t="shared" si="29"/>
        <v>0</v>
      </c>
    </row>
    <row r="100" spans="1:22" x14ac:dyDescent="0.3">
      <c r="A100" t="s">
        <v>7</v>
      </c>
      <c r="B100">
        <v>2005</v>
      </c>
      <c r="C100">
        <v>2</v>
      </c>
      <c r="D100" t="str">
        <f t="shared" si="15"/>
        <v>2005-02</v>
      </c>
      <c r="E100" s="2">
        <f>IF(MOD(ROW()-2,2)=0, INDEX('[1]2310008001-eng'!$B$13:$B$288, (ROW()-2)/2+1), INDEX('[1]2310008001-eng'!$C$13:$C$288, (ROW()-2)/2+1))*1000</f>
        <v>637462000</v>
      </c>
      <c r="F100" s="2">
        <f>IF(MOD(ROW()-2,2)=0, INDEX('[2]1710000901-eng'!$B$12:$B$73, INT((ROW()-2)/6)+1), INDEX('[2]1710000901-eng'!$C$12:$C$73, INT((ROW()-2)/6)+1))</f>
        <v>7559576</v>
      </c>
      <c r="G100">
        <f t="shared" si="16"/>
        <v>84.325099714587168</v>
      </c>
      <c r="H100">
        <v>1</v>
      </c>
      <c r="I100">
        <v>0</v>
      </c>
      <c r="J100">
        <f t="shared" si="17"/>
        <v>0</v>
      </c>
      <c r="K100">
        <f t="shared" si="18"/>
        <v>0</v>
      </c>
      <c r="L100">
        <f t="shared" si="19"/>
        <v>1</v>
      </c>
      <c r="M100">
        <f t="shared" si="20"/>
        <v>0</v>
      </c>
      <c r="N100">
        <f t="shared" si="21"/>
        <v>0</v>
      </c>
      <c r="O100">
        <f t="shared" si="22"/>
        <v>0</v>
      </c>
      <c r="P100">
        <f t="shared" si="23"/>
        <v>0</v>
      </c>
      <c r="Q100">
        <f t="shared" si="24"/>
        <v>0</v>
      </c>
      <c r="R100">
        <f t="shared" si="25"/>
        <v>0</v>
      </c>
      <c r="S100">
        <f t="shared" si="26"/>
        <v>0</v>
      </c>
      <c r="T100">
        <f t="shared" si="27"/>
        <v>0</v>
      </c>
      <c r="U100">
        <f t="shared" si="28"/>
        <v>0</v>
      </c>
      <c r="V100">
        <f t="shared" si="29"/>
        <v>0</v>
      </c>
    </row>
    <row r="101" spans="1:22" x14ac:dyDescent="0.3">
      <c r="A101" t="s">
        <v>22</v>
      </c>
      <c r="B101">
        <v>2005</v>
      </c>
      <c r="C101">
        <v>2</v>
      </c>
      <c r="D101" t="str">
        <f t="shared" si="15"/>
        <v>2005-02</v>
      </c>
      <c r="E101" s="2">
        <f>IF(MOD(ROW()-2,2)=0, INDEX('[1]2310008001-eng'!$B$13:$B$288, (ROW()-2)/2+1), INDEX('[1]2310008001-eng'!$C$13:$C$288, (ROW()-2)/2+1))*1000</f>
        <v>1177645000</v>
      </c>
      <c r="F101" s="2">
        <f>IF(MOD(ROW()-2,2)=0, INDEX('[2]1710000901-eng'!$B$12:$B$73, INT((ROW()-2)/6)+1), INDEX('[2]1710000901-eng'!$C$12:$C$73, INT((ROW()-2)/6)+1))</f>
        <v>12444755</v>
      </c>
      <c r="G101">
        <f t="shared" si="16"/>
        <v>94.629825978896335</v>
      </c>
      <c r="H101">
        <v>0</v>
      </c>
      <c r="I101">
        <v>0</v>
      </c>
      <c r="J101">
        <f t="shared" si="17"/>
        <v>0</v>
      </c>
      <c r="K101">
        <f t="shared" si="18"/>
        <v>0</v>
      </c>
      <c r="L101">
        <f t="shared" si="19"/>
        <v>1</v>
      </c>
      <c r="M101">
        <f t="shared" si="20"/>
        <v>0</v>
      </c>
      <c r="N101">
        <f t="shared" si="21"/>
        <v>0</v>
      </c>
      <c r="O101">
        <f t="shared" si="22"/>
        <v>0</v>
      </c>
      <c r="P101">
        <f t="shared" si="23"/>
        <v>0</v>
      </c>
      <c r="Q101">
        <f t="shared" si="24"/>
        <v>0</v>
      </c>
      <c r="R101">
        <f t="shared" si="25"/>
        <v>0</v>
      </c>
      <c r="S101">
        <f t="shared" si="26"/>
        <v>0</v>
      </c>
      <c r="T101">
        <f t="shared" si="27"/>
        <v>0</v>
      </c>
      <c r="U101">
        <f t="shared" si="28"/>
        <v>0</v>
      </c>
      <c r="V101">
        <f t="shared" si="29"/>
        <v>0</v>
      </c>
    </row>
    <row r="102" spans="1:22" x14ac:dyDescent="0.3">
      <c r="A102" t="s">
        <v>7</v>
      </c>
      <c r="B102">
        <v>2005</v>
      </c>
      <c r="C102">
        <v>3</v>
      </c>
      <c r="D102" t="str">
        <f t="shared" si="15"/>
        <v>2005-03</v>
      </c>
      <c r="E102" s="2">
        <f>IF(MOD(ROW()-2,2)=0, INDEX('[1]2310008001-eng'!$B$13:$B$288, (ROW()-2)/2+1), INDEX('[1]2310008001-eng'!$C$13:$C$288, (ROW()-2)/2+1))*1000</f>
        <v>685779000</v>
      </c>
      <c r="F102" s="2">
        <f>IF(MOD(ROW()-2,2)=0, INDEX('[2]1710000901-eng'!$B$12:$B$73, INT((ROW()-2)/6)+1), INDEX('[2]1710000901-eng'!$C$12:$C$73, INT((ROW()-2)/6)+1))</f>
        <v>7559576</v>
      </c>
      <c r="G102">
        <f t="shared" si="16"/>
        <v>90.7165957455815</v>
      </c>
      <c r="H102">
        <v>1</v>
      </c>
      <c r="I102">
        <v>0</v>
      </c>
      <c r="J102">
        <f t="shared" si="17"/>
        <v>0</v>
      </c>
      <c r="K102">
        <f t="shared" si="18"/>
        <v>0</v>
      </c>
      <c r="L102">
        <f t="shared" si="19"/>
        <v>0</v>
      </c>
      <c r="M102">
        <f t="shared" si="20"/>
        <v>1</v>
      </c>
      <c r="N102">
        <f t="shared" si="21"/>
        <v>0</v>
      </c>
      <c r="O102">
        <f t="shared" si="22"/>
        <v>0</v>
      </c>
      <c r="P102">
        <f t="shared" si="23"/>
        <v>0</v>
      </c>
      <c r="Q102">
        <f t="shared" si="24"/>
        <v>0</v>
      </c>
      <c r="R102">
        <f t="shared" si="25"/>
        <v>0</v>
      </c>
      <c r="S102">
        <f t="shared" si="26"/>
        <v>0</v>
      </c>
      <c r="T102">
        <f t="shared" si="27"/>
        <v>0</v>
      </c>
      <c r="U102">
        <f t="shared" si="28"/>
        <v>0</v>
      </c>
      <c r="V102">
        <f t="shared" si="29"/>
        <v>0</v>
      </c>
    </row>
    <row r="103" spans="1:22" x14ac:dyDescent="0.3">
      <c r="A103" t="s">
        <v>22</v>
      </c>
      <c r="B103">
        <v>2005</v>
      </c>
      <c r="C103">
        <v>3</v>
      </c>
      <c r="D103" t="str">
        <f t="shared" si="15"/>
        <v>2005-03</v>
      </c>
      <c r="E103" s="2">
        <f>IF(MOD(ROW()-2,2)=0, INDEX('[1]2310008001-eng'!$B$13:$B$288, (ROW()-2)/2+1), INDEX('[1]2310008001-eng'!$C$13:$C$288, (ROW()-2)/2+1))*1000</f>
        <v>1244211000</v>
      </c>
      <c r="F103" s="2">
        <f>IF(MOD(ROW()-2,2)=0, INDEX('[2]1710000901-eng'!$B$12:$B$73, INT((ROW()-2)/6)+1), INDEX('[2]1710000901-eng'!$C$12:$C$73, INT((ROW()-2)/6)+1))</f>
        <v>12444755</v>
      </c>
      <c r="G103">
        <f t="shared" si="16"/>
        <v>99.9787460661138</v>
      </c>
      <c r="H103">
        <v>0</v>
      </c>
      <c r="I103">
        <v>0</v>
      </c>
      <c r="J103">
        <f t="shared" si="17"/>
        <v>0</v>
      </c>
      <c r="K103">
        <f t="shared" si="18"/>
        <v>0</v>
      </c>
      <c r="L103">
        <f t="shared" si="19"/>
        <v>0</v>
      </c>
      <c r="M103">
        <f t="shared" si="20"/>
        <v>1</v>
      </c>
      <c r="N103">
        <f t="shared" si="21"/>
        <v>0</v>
      </c>
      <c r="O103">
        <f t="shared" si="22"/>
        <v>0</v>
      </c>
      <c r="P103">
        <f t="shared" si="23"/>
        <v>0</v>
      </c>
      <c r="Q103">
        <f t="shared" si="24"/>
        <v>0</v>
      </c>
      <c r="R103">
        <f t="shared" si="25"/>
        <v>0</v>
      </c>
      <c r="S103">
        <f t="shared" si="26"/>
        <v>0</v>
      </c>
      <c r="T103">
        <f t="shared" si="27"/>
        <v>0</v>
      </c>
      <c r="U103">
        <f t="shared" si="28"/>
        <v>0</v>
      </c>
      <c r="V103">
        <f t="shared" si="29"/>
        <v>0</v>
      </c>
    </row>
    <row r="104" spans="1:22" x14ac:dyDescent="0.3">
      <c r="A104" t="s">
        <v>7</v>
      </c>
      <c r="B104">
        <v>2005</v>
      </c>
      <c r="C104">
        <v>4</v>
      </c>
      <c r="D104" t="str">
        <f t="shared" si="15"/>
        <v>2005-04</v>
      </c>
      <c r="E104" s="2">
        <f>IF(MOD(ROW()-2,2)=0, INDEX('[1]2310008001-eng'!$B$13:$B$288, (ROW()-2)/2+1), INDEX('[1]2310008001-eng'!$C$13:$C$288, (ROW()-2)/2+1))*1000</f>
        <v>637288000</v>
      </c>
      <c r="F104" s="2">
        <f>IF(MOD(ROW()-2,2)=0, INDEX('[2]1710000901-eng'!$B$12:$B$73, INT((ROW()-2)/6)+1), INDEX('[2]1710000901-eng'!$C$12:$C$73, INT((ROW()-2)/6)+1))</f>
        <v>7567277</v>
      </c>
      <c r="G104">
        <f t="shared" si="16"/>
        <v>84.216290747649381</v>
      </c>
      <c r="H104">
        <v>1</v>
      </c>
      <c r="I104">
        <v>0</v>
      </c>
      <c r="J104">
        <f t="shared" si="17"/>
        <v>0</v>
      </c>
      <c r="K104">
        <f t="shared" si="18"/>
        <v>0</v>
      </c>
      <c r="L104">
        <f t="shared" si="19"/>
        <v>0</v>
      </c>
      <c r="M104">
        <f t="shared" si="20"/>
        <v>0</v>
      </c>
      <c r="N104">
        <f t="shared" si="21"/>
        <v>1</v>
      </c>
      <c r="O104">
        <f t="shared" si="22"/>
        <v>0</v>
      </c>
      <c r="P104">
        <f t="shared" si="23"/>
        <v>0</v>
      </c>
      <c r="Q104">
        <f t="shared" si="24"/>
        <v>0</v>
      </c>
      <c r="R104">
        <f t="shared" si="25"/>
        <v>0</v>
      </c>
      <c r="S104">
        <f t="shared" si="26"/>
        <v>0</v>
      </c>
      <c r="T104">
        <f t="shared" si="27"/>
        <v>0</v>
      </c>
      <c r="U104">
        <f t="shared" si="28"/>
        <v>0</v>
      </c>
      <c r="V104">
        <f t="shared" si="29"/>
        <v>0</v>
      </c>
    </row>
    <row r="105" spans="1:22" x14ac:dyDescent="0.3">
      <c r="A105" t="s">
        <v>22</v>
      </c>
      <c r="B105">
        <v>2005</v>
      </c>
      <c r="C105">
        <v>4</v>
      </c>
      <c r="D105" t="str">
        <f t="shared" si="15"/>
        <v>2005-04</v>
      </c>
      <c r="E105" s="2">
        <f>IF(MOD(ROW()-2,2)=0, INDEX('[1]2310008001-eng'!$B$13:$B$288, (ROW()-2)/2+1), INDEX('[1]2310008001-eng'!$C$13:$C$288, (ROW()-2)/2+1))*1000</f>
        <v>1234934000</v>
      </c>
      <c r="F105" s="2">
        <f>IF(MOD(ROW()-2,2)=0, INDEX('[2]1710000901-eng'!$B$12:$B$73, INT((ROW()-2)/6)+1), INDEX('[2]1710000901-eng'!$C$12:$C$73, INT((ROW()-2)/6)+1))</f>
        <v>12476560</v>
      </c>
      <c r="G105">
        <f t="shared" si="16"/>
        <v>98.980327910898524</v>
      </c>
      <c r="H105">
        <v>0</v>
      </c>
      <c r="I105">
        <v>0</v>
      </c>
      <c r="J105">
        <f t="shared" si="17"/>
        <v>0</v>
      </c>
      <c r="K105">
        <f t="shared" si="18"/>
        <v>0</v>
      </c>
      <c r="L105">
        <f t="shared" si="19"/>
        <v>0</v>
      </c>
      <c r="M105">
        <f t="shared" si="20"/>
        <v>0</v>
      </c>
      <c r="N105">
        <f t="shared" si="21"/>
        <v>1</v>
      </c>
      <c r="O105">
        <f t="shared" si="22"/>
        <v>0</v>
      </c>
      <c r="P105">
        <f t="shared" si="23"/>
        <v>0</v>
      </c>
      <c r="Q105">
        <f t="shared" si="24"/>
        <v>0</v>
      </c>
      <c r="R105">
        <f t="shared" si="25"/>
        <v>0</v>
      </c>
      <c r="S105">
        <f t="shared" si="26"/>
        <v>0</v>
      </c>
      <c r="T105">
        <f t="shared" si="27"/>
        <v>0</v>
      </c>
      <c r="U105">
        <f t="shared" si="28"/>
        <v>0</v>
      </c>
      <c r="V105">
        <f t="shared" si="29"/>
        <v>0</v>
      </c>
    </row>
    <row r="106" spans="1:22" x14ac:dyDescent="0.3">
      <c r="A106" t="s">
        <v>7</v>
      </c>
      <c r="B106">
        <v>2005</v>
      </c>
      <c r="C106">
        <v>5</v>
      </c>
      <c r="D106" t="str">
        <f t="shared" si="15"/>
        <v>2005-05</v>
      </c>
      <c r="E106" s="2">
        <f>IF(MOD(ROW()-2,2)=0, INDEX('[1]2310008001-eng'!$B$13:$B$288, (ROW()-2)/2+1), INDEX('[1]2310008001-eng'!$C$13:$C$288, (ROW()-2)/2+1))*1000</f>
        <v>710781000</v>
      </c>
      <c r="F106" s="2">
        <f>IF(MOD(ROW()-2,2)=0, INDEX('[2]1710000901-eng'!$B$12:$B$73, INT((ROW()-2)/6)+1), INDEX('[2]1710000901-eng'!$C$12:$C$73, INT((ROW()-2)/6)+1))</f>
        <v>7567277</v>
      </c>
      <c r="G106">
        <f t="shared" si="16"/>
        <v>93.92823865176338</v>
      </c>
      <c r="H106">
        <v>1</v>
      </c>
      <c r="I106">
        <v>0</v>
      </c>
      <c r="J106">
        <f t="shared" si="17"/>
        <v>0</v>
      </c>
      <c r="K106">
        <f t="shared" si="18"/>
        <v>0</v>
      </c>
      <c r="L106">
        <f t="shared" si="19"/>
        <v>0</v>
      </c>
      <c r="M106">
        <f t="shared" si="20"/>
        <v>0</v>
      </c>
      <c r="N106">
        <f t="shared" si="21"/>
        <v>0</v>
      </c>
      <c r="O106">
        <f t="shared" si="22"/>
        <v>1</v>
      </c>
      <c r="P106">
        <f t="shared" si="23"/>
        <v>0</v>
      </c>
      <c r="Q106">
        <f t="shared" si="24"/>
        <v>0</v>
      </c>
      <c r="R106">
        <f t="shared" si="25"/>
        <v>0</v>
      </c>
      <c r="S106">
        <f t="shared" si="26"/>
        <v>0</v>
      </c>
      <c r="T106">
        <f t="shared" si="27"/>
        <v>0</v>
      </c>
      <c r="U106">
        <f t="shared" si="28"/>
        <v>0</v>
      </c>
      <c r="V106">
        <f t="shared" si="29"/>
        <v>0</v>
      </c>
    </row>
    <row r="107" spans="1:22" x14ac:dyDescent="0.3">
      <c r="A107" t="s">
        <v>22</v>
      </c>
      <c r="B107">
        <v>2005</v>
      </c>
      <c r="C107">
        <v>5</v>
      </c>
      <c r="D107" t="str">
        <f t="shared" si="15"/>
        <v>2005-05</v>
      </c>
      <c r="E107" s="2">
        <f>IF(MOD(ROW()-2,2)=0, INDEX('[1]2310008001-eng'!$B$13:$B$288, (ROW()-2)/2+1), INDEX('[1]2310008001-eng'!$C$13:$C$288, (ROW()-2)/2+1))*1000</f>
        <v>1334417000</v>
      </c>
      <c r="F107" s="2">
        <f>IF(MOD(ROW()-2,2)=0, INDEX('[2]1710000901-eng'!$B$12:$B$73, INT((ROW()-2)/6)+1), INDEX('[2]1710000901-eng'!$C$12:$C$73, INT((ROW()-2)/6)+1))</f>
        <v>12476560</v>
      </c>
      <c r="G107">
        <f t="shared" si="16"/>
        <v>106.95391999076669</v>
      </c>
      <c r="H107">
        <v>0</v>
      </c>
      <c r="I107">
        <v>0</v>
      </c>
      <c r="J107">
        <f t="shared" si="17"/>
        <v>0</v>
      </c>
      <c r="K107">
        <f t="shared" si="18"/>
        <v>0</v>
      </c>
      <c r="L107">
        <f t="shared" si="19"/>
        <v>0</v>
      </c>
      <c r="M107">
        <f t="shared" si="20"/>
        <v>0</v>
      </c>
      <c r="N107">
        <f t="shared" si="21"/>
        <v>0</v>
      </c>
      <c r="O107">
        <f t="shared" si="22"/>
        <v>1</v>
      </c>
      <c r="P107">
        <f t="shared" si="23"/>
        <v>0</v>
      </c>
      <c r="Q107">
        <f t="shared" si="24"/>
        <v>0</v>
      </c>
      <c r="R107">
        <f t="shared" si="25"/>
        <v>0</v>
      </c>
      <c r="S107">
        <f t="shared" si="26"/>
        <v>0</v>
      </c>
      <c r="T107">
        <f t="shared" si="27"/>
        <v>0</v>
      </c>
      <c r="U107">
        <f t="shared" si="28"/>
        <v>0</v>
      </c>
      <c r="V107">
        <f t="shared" si="29"/>
        <v>0</v>
      </c>
    </row>
    <row r="108" spans="1:22" x14ac:dyDescent="0.3">
      <c r="A108" t="s">
        <v>7</v>
      </c>
      <c r="B108">
        <v>2005</v>
      </c>
      <c r="C108">
        <v>6</v>
      </c>
      <c r="D108" t="str">
        <f t="shared" si="15"/>
        <v>2005-06</v>
      </c>
      <c r="E108" s="2">
        <f>IF(MOD(ROW()-2,2)=0, INDEX('[1]2310008001-eng'!$B$13:$B$288, (ROW()-2)/2+1), INDEX('[1]2310008001-eng'!$C$13:$C$288, (ROW()-2)/2+1))*1000</f>
        <v>726018000</v>
      </c>
      <c r="F108" s="2">
        <f>IF(MOD(ROW()-2,2)=0, INDEX('[2]1710000901-eng'!$B$12:$B$73, INT((ROW()-2)/6)+1), INDEX('[2]1710000901-eng'!$C$12:$C$73, INT((ROW()-2)/6)+1))</f>
        <v>7567277</v>
      </c>
      <c r="G108">
        <f t="shared" si="16"/>
        <v>95.941776678718114</v>
      </c>
      <c r="H108">
        <v>1</v>
      </c>
      <c r="I108">
        <v>0</v>
      </c>
      <c r="J108">
        <f t="shared" si="17"/>
        <v>0</v>
      </c>
      <c r="K108">
        <f t="shared" si="18"/>
        <v>0</v>
      </c>
      <c r="L108">
        <f t="shared" si="19"/>
        <v>0</v>
      </c>
      <c r="M108">
        <f t="shared" si="20"/>
        <v>0</v>
      </c>
      <c r="N108">
        <f t="shared" si="21"/>
        <v>0</v>
      </c>
      <c r="O108">
        <f t="shared" si="22"/>
        <v>0</v>
      </c>
      <c r="P108">
        <f t="shared" si="23"/>
        <v>1</v>
      </c>
      <c r="Q108">
        <f t="shared" si="24"/>
        <v>0</v>
      </c>
      <c r="R108">
        <f t="shared" si="25"/>
        <v>0</v>
      </c>
      <c r="S108">
        <f t="shared" si="26"/>
        <v>0</v>
      </c>
      <c r="T108">
        <f t="shared" si="27"/>
        <v>0</v>
      </c>
      <c r="U108">
        <f t="shared" si="28"/>
        <v>0</v>
      </c>
      <c r="V108">
        <f t="shared" si="29"/>
        <v>0</v>
      </c>
    </row>
    <row r="109" spans="1:22" x14ac:dyDescent="0.3">
      <c r="A109" t="s">
        <v>22</v>
      </c>
      <c r="B109">
        <v>2005</v>
      </c>
      <c r="C109">
        <v>6</v>
      </c>
      <c r="D109" t="str">
        <f t="shared" si="15"/>
        <v>2005-06</v>
      </c>
      <c r="E109" s="2">
        <f>IF(MOD(ROW()-2,2)=0, INDEX('[1]2310008001-eng'!$B$13:$B$288, (ROW()-2)/2+1), INDEX('[1]2310008001-eng'!$C$13:$C$288, (ROW()-2)/2+1))*1000</f>
        <v>1351101000</v>
      </c>
      <c r="F109" s="2">
        <f>IF(MOD(ROW()-2,2)=0, INDEX('[2]1710000901-eng'!$B$12:$B$73, INT((ROW()-2)/6)+1), INDEX('[2]1710000901-eng'!$C$12:$C$73, INT((ROW()-2)/6)+1))</f>
        <v>12476560</v>
      </c>
      <c r="G109">
        <f t="shared" si="16"/>
        <v>108.29114755990433</v>
      </c>
      <c r="H109">
        <v>0</v>
      </c>
      <c r="I109">
        <v>0</v>
      </c>
      <c r="J109">
        <f t="shared" si="17"/>
        <v>0</v>
      </c>
      <c r="K109">
        <f t="shared" si="18"/>
        <v>0</v>
      </c>
      <c r="L109">
        <f t="shared" si="19"/>
        <v>0</v>
      </c>
      <c r="M109">
        <f t="shared" si="20"/>
        <v>0</v>
      </c>
      <c r="N109">
        <f t="shared" si="21"/>
        <v>0</v>
      </c>
      <c r="O109">
        <f t="shared" si="22"/>
        <v>0</v>
      </c>
      <c r="P109">
        <f t="shared" si="23"/>
        <v>1</v>
      </c>
      <c r="Q109">
        <f t="shared" si="24"/>
        <v>0</v>
      </c>
      <c r="R109">
        <f t="shared" si="25"/>
        <v>0</v>
      </c>
      <c r="S109">
        <f t="shared" si="26"/>
        <v>0</v>
      </c>
      <c r="T109">
        <f t="shared" si="27"/>
        <v>0</v>
      </c>
      <c r="U109">
        <f t="shared" si="28"/>
        <v>0</v>
      </c>
      <c r="V109">
        <f t="shared" si="29"/>
        <v>0</v>
      </c>
    </row>
    <row r="110" spans="1:22" x14ac:dyDescent="0.3">
      <c r="A110" t="s">
        <v>7</v>
      </c>
      <c r="B110">
        <v>2005</v>
      </c>
      <c r="C110">
        <v>7</v>
      </c>
      <c r="D110" t="str">
        <f t="shared" si="15"/>
        <v>2005-07</v>
      </c>
      <c r="E110" s="2">
        <f>IF(MOD(ROW()-2,2)=0, INDEX('[1]2310008001-eng'!$B$13:$B$288, (ROW()-2)/2+1), INDEX('[1]2310008001-eng'!$C$13:$C$288, (ROW()-2)/2+1))*1000</f>
        <v>728773000</v>
      </c>
      <c r="F110" s="2">
        <f>IF(MOD(ROW()-2,2)=0, INDEX('[2]1710000901-eng'!$B$12:$B$73, INT((ROW()-2)/6)+1), INDEX('[2]1710000901-eng'!$C$12:$C$73, INT((ROW()-2)/6)+1))</f>
        <v>7581467</v>
      </c>
      <c r="G110">
        <f t="shared" si="16"/>
        <v>96.125591524700965</v>
      </c>
      <c r="H110">
        <v>1</v>
      </c>
      <c r="I110">
        <v>0</v>
      </c>
      <c r="J110">
        <f t="shared" si="17"/>
        <v>0</v>
      </c>
      <c r="K110">
        <f t="shared" si="18"/>
        <v>0</v>
      </c>
      <c r="L110">
        <f t="shared" si="19"/>
        <v>0</v>
      </c>
      <c r="M110">
        <f t="shared" si="20"/>
        <v>0</v>
      </c>
      <c r="N110">
        <f t="shared" si="21"/>
        <v>0</v>
      </c>
      <c r="O110">
        <f t="shared" si="22"/>
        <v>0</v>
      </c>
      <c r="P110">
        <f t="shared" si="23"/>
        <v>0</v>
      </c>
      <c r="Q110">
        <f t="shared" si="24"/>
        <v>1</v>
      </c>
      <c r="R110">
        <f t="shared" si="25"/>
        <v>0</v>
      </c>
      <c r="S110">
        <f t="shared" si="26"/>
        <v>0</v>
      </c>
      <c r="T110">
        <f t="shared" si="27"/>
        <v>0</v>
      </c>
      <c r="U110">
        <f t="shared" si="28"/>
        <v>0</v>
      </c>
      <c r="V110">
        <f t="shared" si="29"/>
        <v>0</v>
      </c>
    </row>
    <row r="111" spans="1:22" x14ac:dyDescent="0.3">
      <c r="A111" t="s">
        <v>22</v>
      </c>
      <c r="B111">
        <v>2005</v>
      </c>
      <c r="C111">
        <v>7</v>
      </c>
      <c r="D111" t="str">
        <f t="shared" si="15"/>
        <v>2005-07</v>
      </c>
      <c r="E111" s="2">
        <f>IF(MOD(ROW()-2,2)=0, INDEX('[1]2310008001-eng'!$B$13:$B$288, (ROW()-2)/2+1), INDEX('[1]2310008001-eng'!$C$13:$C$288, (ROW()-2)/2+1))*1000</f>
        <v>1378975000</v>
      </c>
      <c r="F111" s="2">
        <f>IF(MOD(ROW()-2,2)=0, INDEX('[2]1710000901-eng'!$B$12:$B$73, INT((ROW()-2)/6)+1), INDEX('[2]1710000901-eng'!$C$12:$C$73, INT((ROW()-2)/6)+1))</f>
        <v>12527581</v>
      </c>
      <c r="G111">
        <f t="shared" si="16"/>
        <v>110.07512144603176</v>
      </c>
      <c r="H111">
        <v>0</v>
      </c>
      <c r="I111">
        <v>0</v>
      </c>
      <c r="J111">
        <f t="shared" si="17"/>
        <v>0</v>
      </c>
      <c r="K111">
        <f t="shared" si="18"/>
        <v>0</v>
      </c>
      <c r="L111">
        <f t="shared" si="19"/>
        <v>0</v>
      </c>
      <c r="M111">
        <f t="shared" si="20"/>
        <v>0</v>
      </c>
      <c r="N111">
        <f t="shared" si="21"/>
        <v>0</v>
      </c>
      <c r="O111">
        <f t="shared" si="22"/>
        <v>0</v>
      </c>
      <c r="P111">
        <f t="shared" si="23"/>
        <v>0</v>
      </c>
      <c r="Q111">
        <f t="shared" si="24"/>
        <v>1</v>
      </c>
      <c r="R111">
        <f t="shared" si="25"/>
        <v>0</v>
      </c>
      <c r="S111">
        <f t="shared" si="26"/>
        <v>0</v>
      </c>
      <c r="T111">
        <f t="shared" si="27"/>
        <v>0</v>
      </c>
      <c r="U111">
        <f t="shared" si="28"/>
        <v>0</v>
      </c>
      <c r="V111">
        <f t="shared" si="29"/>
        <v>0</v>
      </c>
    </row>
    <row r="112" spans="1:22" x14ac:dyDescent="0.3">
      <c r="A112" t="s">
        <v>7</v>
      </c>
      <c r="B112">
        <v>2005</v>
      </c>
      <c r="C112">
        <v>8</v>
      </c>
      <c r="D112" t="str">
        <f t="shared" si="15"/>
        <v>2005-08</v>
      </c>
      <c r="E112" s="2">
        <f>IF(MOD(ROW()-2,2)=0, INDEX('[1]2310008001-eng'!$B$13:$B$288, (ROW()-2)/2+1), INDEX('[1]2310008001-eng'!$C$13:$C$288, (ROW()-2)/2+1))*1000</f>
        <v>727777000</v>
      </c>
      <c r="F112" s="2">
        <f>IF(MOD(ROW()-2,2)=0, INDEX('[2]1710000901-eng'!$B$12:$B$73, INT((ROW()-2)/6)+1), INDEX('[2]1710000901-eng'!$C$12:$C$73, INT((ROW()-2)/6)+1))</f>
        <v>7581467</v>
      </c>
      <c r="G112">
        <f t="shared" si="16"/>
        <v>95.994218533167796</v>
      </c>
      <c r="H112">
        <v>1</v>
      </c>
      <c r="I112">
        <v>0</v>
      </c>
      <c r="J112">
        <f t="shared" si="17"/>
        <v>0</v>
      </c>
      <c r="K112">
        <f t="shared" si="18"/>
        <v>0</v>
      </c>
      <c r="L112">
        <f t="shared" si="19"/>
        <v>0</v>
      </c>
      <c r="M112">
        <f t="shared" si="20"/>
        <v>0</v>
      </c>
      <c r="N112">
        <f t="shared" si="21"/>
        <v>0</v>
      </c>
      <c r="O112">
        <f t="shared" si="22"/>
        <v>0</v>
      </c>
      <c r="P112">
        <f t="shared" si="23"/>
        <v>0</v>
      </c>
      <c r="Q112">
        <f t="shared" si="24"/>
        <v>0</v>
      </c>
      <c r="R112">
        <f t="shared" si="25"/>
        <v>1</v>
      </c>
      <c r="S112">
        <f t="shared" si="26"/>
        <v>0</v>
      </c>
      <c r="T112">
        <f t="shared" si="27"/>
        <v>0</v>
      </c>
      <c r="U112">
        <f t="shared" si="28"/>
        <v>0</v>
      </c>
      <c r="V112">
        <f t="shared" si="29"/>
        <v>0</v>
      </c>
    </row>
    <row r="113" spans="1:22" x14ac:dyDescent="0.3">
      <c r="A113" t="s">
        <v>22</v>
      </c>
      <c r="B113">
        <v>2005</v>
      </c>
      <c r="C113">
        <v>8</v>
      </c>
      <c r="D113" t="str">
        <f t="shared" si="15"/>
        <v>2005-08</v>
      </c>
      <c r="E113" s="2">
        <f>IF(MOD(ROW()-2,2)=0, INDEX('[1]2310008001-eng'!$B$13:$B$288, (ROW()-2)/2+1), INDEX('[1]2310008001-eng'!$C$13:$C$288, (ROW()-2)/2+1))*1000</f>
        <v>1333544000</v>
      </c>
      <c r="F113" s="2">
        <f>IF(MOD(ROW()-2,2)=0, INDEX('[2]1710000901-eng'!$B$12:$B$73, INT((ROW()-2)/6)+1), INDEX('[2]1710000901-eng'!$C$12:$C$73, INT((ROW()-2)/6)+1))</f>
        <v>12527581</v>
      </c>
      <c r="G113">
        <f t="shared" si="16"/>
        <v>106.44864319775701</v>
      </c>
      <c r="H113">
        <v>0</v>
      </c>
      <c r="I113">
        <v>0</v>
      </c>
      <c r="J113">
        <f t="shared" si="17"/>
        <v>0</v>
      </c>
      <c r="K113">
        <f t="shared" si="18"/>
        <v>0</v>
      </c>
      <c r="L113">
        <f t="shared" si="19"/>
        <v>0</v>
      </c>
      <c r="M113">
        <f t="shared" si="20"/>
        <v>0</v>
      </c>
      <c r="N113">
        <f t="shared" si="21"/>
        <v>0</v>
      </c>
      <c r="O113">
        <f t="shared" si="22"/>
        <v>0</v>
      </c>
      <c r="P113">
        <f t="shared" si="23"/>
        <v>0</v>
      </c>
      <c r="Q113">
        <f t="shared" si="24"/>
        <v>0</v>
      </c>
      <c r="R113">
        <f t="shared" si="25"/>
        <v>1</v>
      </c>
      <c r="S113">
        <f t="shared" si="26"/>
        <v>0</v>
      </c>
      <c r="T113">
        <f t="shared" si="27"/>
        <v>0</v>
      </c>
      <c r="U113">
        <f t="shared" si="28"/>
        <v>0</v>
      </c>
      <c r="V113">
        <f t="shared" si="29"/>
        <v>0</v>
      </c>
    </row>
    <row r="114" spans="1:22" x14ac:dyDescent="0.3">
      <c r="A114" t="s">
        <v>7</v>
      </c>
      <c r="B114">
        <v>2005</v>
      </c>
      <c r="C114">
        <v>9</v>
      </c>
      <c r="D114" t="str">
        <f t="shared" si="15"/>
        <v>2005-09</v>
      </c>
      <c r="E114" s="2">
        <f>IF(MOD(ROW()-2,2)=0, INDEX('[1]2310008001-eng'!$B$13:$B$288, (ROW()-2)/2+1), INDEX('[1]2310008001-eng'!$C$13:$C$288, (ROW()-2)/2+1))*1000</f>
        <v>639717000</v>
      </c>
      <c r="F114" s="2">
        <f>IF(MOD(ROW()-2,2)=0, INDEX('[2]1710000901-eng'!$B$12:$B$73, INT((ROW()-2)/6)+1), INDEX('[2]1710000901-eng'!$C$12:$C$73, INT((ROW()-2)/6)+1))</f>
        <v>7581467</v>
      </c>
      <c r="G114">
        <f t="shared" si="16"/>
        <v>84.379052233558497</v>
      </c>
      <c r="H114">
        <v>1</v>
      </c>
      <c r="I114">
        <v>0</v>
      </c>
      <c r="J114">
        <f t="shared" si="17"/>
        <v>0</v>
      </c>
      <c r="K114">
        <f t="shared" si="18"/>
        <v>0</v>
      </c>
      <c r="L114">
        <f t="shared" si="19"/>
        <v>0</v>
      </c>
      <c r="M114">
        <f t="shared" si="20"/>
        <v>0</v>
      </c>
      <c r="N114">
        <f t="shared" si="21"/>
        <v>0</v>
      </c>
      <c r="O114">
        <f t="shared" si="22"/>
        <v>0</v>
      </c>
      <c r="P114">
        <f t="shared" si="23"/>
        <v>0</v>
      </c>
      <c r="Q114">
        <f t="shared" si="24"/>
        <v>0</v>
      </c>
      <c r="R114">
        <f t="shared" si="25"/>
        <v>0</v>
      </c>
      <c r="S114">
        <f t="shared" si="26"/>
        <v>1</v>
      </c>
      <c r="T114">
        <f t="shared" si="27"/>
        <v>0</v>
      </c>
      <c r="U114">
        <f t="shared" si="28"/>
        <v>0</v>
      </c>
      <c r="V114">
        <f t="shared" si="29"/>
        <v>0</v>
      </c>
    </row>
    <row r="115" spans="1:22" x14ac:dyDescent="0.3">
      <c r="A115" t="s">
        <v>22</v>
      </c>
      <c r="B115">
        <v>2005</v>
      </c>
      <c r="C115">
        <v>9</v>
      </c>
      <c r="D115" t="str">
        <f t="shared" si="15"/>
        <v>2005-09</v>
      </c>
      <c r="E115" s="2">
        <f>IF(MOD(ROW()-2,2)=0, INDEX('[1]2310008001-eng'!$B$13:$B$288, (ROW()-2)/2+1), INDEX('[1]2310008001-eng'!$C$13:$C$288, (ROW()-2)/2+1))*1000</f>
        <v>1214605000</v>
      </c>
      <c r="F115" s="2">
        <f>IF(MOD(ROW()-2,2)=0, INDEX('[2]1710000901-eng'!$B$12:$B$73, INT((ROW()-2)/6)+1), INDEX('[2]1710000901-eng'!$C$12:$C$73, INT((ROW()-2)/6)+1))</f>
        <v>12527581</v>
      </c>
      <c r="G115">
        <f t="shared" si="16"/>
        <v>96.954471896849043</v>
      </c>
      <c r="H115">
        <v>0</v>
      </c>
      <c r="I115">
        <v>0</v>
      </c>
      <c r="J115">
        <f t="shared" si="17"/>
        <v>0</v>
      </c>
      <c r="K115">
        <f t="shared" si="18"/>
        <v>0</v>
      </c>
      <c r="L115">
        <f t="shared" si="19"/>
        <v>0</v>
      </c>
      <c r="M115">
        <f t="shared" si="20"/>
        <v>0</v>
      </c>
      <c r="N115">
        <f t="shared" si="21"/>
        <v>0</v>
      </c>
      <c r="O115">
        <f t="shared" si="22"/>
        <v>0</v>
      </c>
      <c r="P115">
        <f t="shared" si="23"/>
        <v>0</v>
      </c>
      <c r="Q115">
        <f t="shared" si="24"/>
        <v>0</v>
      </c>
      <c r="R115">
        <f t="shared" si="25"/>
        <v>0</v>
      </c>
      <c r="S115">
        <f t="shared" si="26"/>
        <v>1</v>
      </c>
      <c r="T115">
        <f t="shared" si="27"/>
        <v>0</v>
      </c>
      <c r="U115">
        <f t="shared" si="28"/>
        <v>0</v>
      </c>
      <c r="V115">
        <f t="shared" si="29"/>
        <v>0</v>
      </c>
    </row>
    <row r="116" spans="1:22" x14ac:dyDescent="0.3">
      <c r="A116" t="s">
        <v>7</v>
      </c>
      <c r="B116">
        <v>2005</v>
      </c>
      <c r="C116">
        <v>10</v>
      </c>
      <c r="D116" t="str">
        <f t="shared" si="15"/>
        <v>2005-10</v>
      </c>
      <c r="E116" s="2">
        <f>IF(MOD(ROW()-2,2)=0, INDEX('[1]2310008001-eng'!$B$13:$B$288, (ROW()-2)/2+1), INDEX('[1]2310008001-eng'!$C$13:$C$288, (ROW()-2)/2+1))*1000</f>
        <v>665953000</v>
      </c>
      <c r="F116" s="2">
        <f>IF(MOD(ROW()-2,2)=0, INDEX('[2]1710000901-eng'!$B$12:$B$73, INT((ROW()-2)/6)+1), INDEX('[2]1710000901-eng'!$C$12:$C$73, INT((ROW()-2)/6)+1))</f>
        <v>7598880</v>
      </c>
      <c r="G116">
        <f t="shared" si="16"/>
        <v>87.638309856189338</v>
      </c>
      <c r="H116">
        <v>1</v>
      </c>
      <c r="I116">
        <v>0</v>
      </c>
      <c r="J116">
        <f t="shared" si="17"/>
        <v>0</v>
      </c>
      <c r="K116">
        <f t="shared" si="18"/>
        <v>0</v>
      </c>
      <c r="L116">
        <f t="shared" si="19"/>
        <v>0</v>
      </c>
      <c r="M116">
        <f t="shared" si="20"/>
        <v>0</v>
      </c>
      <c r="N116">
        <f t="shared" si="21"/>
        <v>0</v>
      </c>
      <c r="O116">
        <f t="shared" si="22"/>
        <v>0</v>
      </c>
      <c r="P116">
        <f t="shared" si="23"/>
        <v>0</v>
      </c>
      <c r="Q116">
        <f t="shared" si="24"/>
        <v>0</v>
      </c>
      <c r="R116">
        <f t="shared" si="25"/>
        <v>0</v>
      </c>
      <c r="S116">
        <f t="shared" si="26"/>
        <v>0</v>
      </c>
      <c r="T116">
        <f t="shared" si="27"/>
        <v>1</v>
      </c>
      <c r="U116">
        <f t="shared" si="28"/>
        <v>0</v>
      </c>
      <c r="V116">
        <f t="shared" si="29"/>
        <v>0</v>
      </c>
    </row>
    <row r="117" spans="1:22" x14ac:dyDescent="0.3">
      <c r="A117" t="s">
        <v>22</v>
      </c>
      <c r="B117">
        <v>2005</v>
      </c>
      <c r="C117">
        <v>10</v>
      </c>
      <c r="D117" t="str">
        <f t="shared" si="15"/>
        <v>2005-10</v>
      </c>
      <c r="E117" s="2">
        <f>IF(MOD(ROW()-2,2)=0, INDEX('[1]2310008001-eng'!$B$13:$B$288, (ROW()-2)/2+1), INDEX('[1]2310008001-eng'!$C$13:$C$288, (ROW()-2)/2+1))*1000</f>
        <v>1300501000</v>
      </c>
      <c r="F117" s="2">
        <f>IF(MOD(ROW()-2,2)=0, INDEX('[2]1710000901-eng'!$B$12:$B$73, INT((ROW()-2)/6)+1), INDEX('[2]1710000901-eng'!$C$12:$C$73, INT((ROW()-2)/6)+1))</f>
        <v>12578240</v>
      </c>
      <c r="G117">
        <f t="shared" si="16"/>
        <v>103.39292301625665</v>
      </c>
      <c r="H117">
        <v>0</v>
      </c>
      <c r="I117">
        <v>0</v>
      </c>
      <c r="J117">
        <f t="shared" si="17"/>
        <v>0</v>
      </c>
      <c r="K117">
        <f t="shared" si="18"/>
        <v>0</v>
      </c>
      <c r="L117">
        <f t="shared" si="19"/>
        <v>0</v>
      </c>
      <c r="M117">
        <f t="shared" si="20"/>
        <v>0</v>
      </c>
      <c r="N117">
        <f t="shared" si="21"/>
        <v>0</v>
      </c>
      <c r="O117">
        <f t="shared" si="22"/>
        <v>0</v>
      </c>
      <c r="P117">
        <f t="shared" si="23"/>
        <v>0</v>
      </c>
      <c r="Q117">
        <f t="shared" si="24"/>
        <v>0</v>
      </c>
      <c r="R117">
        <f t="shared" si="25"/>
        <v>0</v>
      </c>
      <c r="S117">
        <f t="shared" si="26"/>
        <v>0</v>
      </c>
      <c r="T117">
        <f t="shared" si="27"/>
        <v>1</v>
      </c>
      <c r="U117">
        <f t="shared" si="28"/>
        <v>0</v>
      </c>
      <c r="V117">
        <f t="shared" si="29"/>
        <v>0</v>
      </c>
    </row>
    <row r="118" spans="1:22" x14ac:dyDescent="0.3">
      <c r="A118" t="s">
        <v>7</v>
      </c>
      <c r="B118">
        <v>2005</v>
      </c>
      <c r="C118">
        <v>11</v>
      </c>
      <c r="D118" t="str">
        <f t="shared" si="15"/>
        <v>2005-11</v>
      </c>
      <c r="E118" s="2">
        <f>IF(MOD(ROW()-2,2)=0, INDEX('[1]2310008001-eng'!$B$13:$B$288, (ROW()-2)/2+1), INDEX('[1]2310008001-eng'!$C$13:$C$288, (ROW()-2)/2+1))*1000</f>
        <v>660584000</v>
      </c>
      <c r="F118" s="2">
        <f>IF(MOD(ROW()-2,2)=0, INDEX('[2]1710000901-eng'!$B$12:$B$73, INT((ROW()-2)/6)+1), INDEX('[2]1710000901-eng'!$C$12:$C$73, INT((ROW()-2)/6)+1))</f>
        <v>7598880</v>
      </c>
      <c r="G118">
        <f t="shared" si="16"/>
        <v>86.931758364390546</v>
      </c>
      <c r="H118">
        <v>1</v>
      </c>
      <c r="I118">
        <v>0</v>
      </c>
      <c r="J118">
        <f t="shared" si="17"/>
        <v>0</v>
      </c>
      <c r="K118">
        <f t="shared" si="18"/>
        <v>0</v>
      </c>
      <c r="L118">
        <f t="shared" si="19"/>
        <v>0</v>
      </c>
      <c r="M118">
        <f t="shared" si="20"/>
        <v>0</v>
      </c>
      <c r="N118">
        <f t="shared" si="21"/>
        <v>0</v>
      </c>
      <c r="O118">
        <f t="shared" si="22"/>
        <v>0</v>
      </c>
      <c r="P118">
        <f t="shared" si="23"/>
        <v>0</v>
      </c>
      <c r="Q118">
        <f t="shared" si="24"/>
        <v>0</v>
      </c>
      <c r="R118">
        <f t="shared" si="25"/>
        <v>0</v>
      </c>
      <c r="S118">
        <f t="shared" si="26"/>
        <v>0</v>
      </c>
      <c r="T118">
        <f t="shared" si="27"/>
        <v>0</v>
      </c>
      <c r="U118">
        <f t="shared" si="28"/>
        <v>1</v>
      </c>
      <c r="V118">
        <f t="shared" si="29"/>
        <v>0</v>
      </c>
    </row>
    <row r="119" spans="1:22" x14ac:dyDescent="0.3">
      <c r="A119" t="s">
        <v>22</v>
      </c>
      <c r="B119">
        <v>2005</v>
      </c>
      <c r="C119">
        <v>11</v>
      </c>
      <c r="D119" t="str">
        <f t="shared" si="15"/>
        <v>2005-11</v>
      </c>
      <c r="E119" s="2">
        <f>IF(MOD(ROW()-2,2)=0, INDEX('[1]2310008001-eng'!$B$13:$B$288, (ROW()-2)/2+1), INDEX('[1]2310008001-eng'!$C$13:$C$288, (ROW()-2)/2+1))*1000</f>
        <v>1248353000</v>
      </c>
      <c r="F119" s="2">
        <f>IF(MOD(ROW()-2,2)=0, INDEX('[2]1710000901-eng'!$B$12:$B$73, INT((ROW()-2)/6)+1), INDEX('[2]1710000901-eng'!$C$12:$C$73, INT((ROW()-2)/6)+1))</f>
        <v>12578240</v>
      </c>
      <c r="G119">
        <f t="shared" si="16"/>
        <v>99.247032971226503</v>
      </c>
      <c r="H119">
        <v>0</v>
      </c>
      <c r="I119">
        <v>0</v>
      </c>
      <c r="J119">
        <f t="shared" si="17"/>
        <v>0</v>
      </c>
      <c r="K119">
        <f t="shared" si="18"/>
        <v>0</v>
      </c>
      <c r="L119">
        <f t="shared" si="19"/>
        <v>0</v>
      </c>
      <c r="M119">
        <f t="shared" si="20"/>
        <v>0</v>
      </c>
      <c r="N119">
        <f t="shared" si="21"/>
        <v>0</v>
      </c>
      <c r="O119">
        <f t="shared" si="22"/>
        <v>0</v>
      </c>
      <c r="P119">
        <f t="shared" si="23"/>
        <v>0</v>
      </c>
      <c r="Q119">
        <f t="shared" si="24"/>
        <v>0</v>
      </c>
      <c r="R119">
        <f t="shared" si="25"/>
        <v>0</v>
      </c>
      <c r="S119">
        <f t="shared" si="26"/>
        <v>0</v>
      </c>
      <c r="T119">
        <f t="shared" si="27"/>
        <v>0</v>
      </c>
      <c r="U119">
        <f t="shared" si="28"/>
        <v>1</v>
      </c>
      <c r="V119">
        <f t="shared" si="29"/>
        <v>0</v>
      </c>
    </row>
    <row r="120" spans="1:22" x14ac:dyDescent="0.3">
      <c r="A120" t="s">
        <v>7</v>
      </c>
      <c r="B120">
        <v>2005</v>
      </c>
      <c r="C120">
        <v>12</v>
      </c>
      <c r="D120" t="str">
        <f t="shared" si="15"/>
        <v>2005-12</v>
      </c>
      <c r="E120" s="2">
        <f>IF(MOD(ROW()-2,2)=0, INDEX('[1]2310008001-eng'!$B$13:$B$288, (ROW()-2)/2+1), INDEX('[1]2310008001-eng'!$C$13:$C$288, (ROW()-2)/2+1))*1000</f>
        <v>693350000</v>
      </c>
      <c r="F120" s="2">
        <f>IF(MOD(ROW()-2,2)=0, INDEX('[2]1710000901-eng'!$B$12:$B$73, INT((ROW()-2)/6)+1), INDEX('[2]1710000901-eng'!$C$12:$C$73, INT((ROW()-2)/6)+1))</f>
        <v>7598880</v>
      </c>
      <c r="G120">
        <f t="shared" si="16"/>
        <v>91.243709599309369</v>
      </c>
      <c r="H120">
        <v>1</v>
      </c>
      <c r="I120">
        <v>0</v>
      </c>
      <c r="J120">
        <f t="shared" si="17"/>
        <v>0</v>
      </c>
      <c r="K120">
        <f t="shared" si="18"/>
        <v>0</v>
      </c>
      <c r="L120">
        <f t="shared" si="19"/>
        <v>0</v>
      </c>
      <c r="M120">
        <f t="shared" si="20"/>
        <v>0</v>
      </c>
      <c r="N120">
        <f t="shared" si="21"/>
        <v>0</v>
      </c>
      <c r="O120">
        <f t="shared" si="22"/>
        <v>0</v>
      </c>
      <c r="P120">
        <f t="shared" si="23"/>
        <v>0</v>
      </c>
      <c r="Q120">
        <f t="shared" si="24"/>
        <v>0</v>
      </c>
      <c r="R120">
        <f t="shared" si="25"/>
        <v>0</v>
      </c>
      <c r="S120">
        <f t="shared" si="26"/>
        <v>0</v>
      </c>
      <c r="T120">
        <f t="shared" si="27"/>
        <v>0</v>
      </c>
      <c r="U120">
        <f t="shared" si="28"/>
        <v>0</v>
      </c>
      <c r="V120">
        <f t="shared" si="29"/>
        <v>1</v>
      </c>
    </row>
    <row r="121" spans="1:22" x14ac:dyDescent="0.3">
      <c r="A121" t="s">
        <v>22</v>
      </c>
      <c r="B121">
        <v>2005</v>
      </c>
      <c r="C121">
        <v>12</v>
      </c>
      <c r="D121" t="str">
        <f t="shared" si="15"/>
        <v>2005-12</v>
      </c>
      <c r="E121" s="2">
        <f>IF(MOD(ROW()-2,2)=0, INDEX('[1]2310008001-eng'!$B$13:$B$288, (ROW()-2)/2+1), INDEX('[1]2310008001-eng'!$C$13:$C$288, (ROW()-2)/2+1))*1000</f>
        <v>1291014000</v>
      </c>
      <c r="F121" s="2">
        <f>IF(MOD(ROW()-2,2)=0, INDEX('[2]1710000901-eng'!$B$12:$B$73, INT((ROW()-2)/6)+1), INDEX('[2]1710000901-eng'!$C$12:$C$73, INT((ROW()-2)/6)+1))</f>
        <v>12578240</v>
      </c>
      <c r="G121">
        <f t="shared" si="16"/>
        <v>102.63868394942376</v>
      </c>
      <c r="H121">
        <v>0</v>
      </c>
      <c r="I121">
        <v>0</v>
      </c>
      <c r="J121">
        <f t="shared" si="17"/>
        <v>0</v>
      </c>
      <c r="K121">
        <f t="shared" si="18"/>
        <v>0</v>
      </c>
      <c r="L121">
        <f t="shared" si="19"/>
        <v>0</v>
      </c>
      <c r="M121">
        <f t="shared" si="20"/>
        <v>0</v>
      </c>
      <c r="N121">
        <f t="shared" si="21"/>
        <v>0</v>
      </c>
      <c r="O121">
        <f t="shared" si="22"/>
        <v>0</v>
      </c>
      <c r="P121">
        <f t="shared" si="23"/>
        <v>0</v>
      </c>
      <c r="Q121">
        <f t="shared" si="24"/>
        <v>0</v>
      </c>
      <c r="R121">
        <f t="shared" si="25"/>
        <v>0</v>
      </c>
      <c r="S121">
        <f t="shared" si="26"/>
        <v>0</v>
      </c>
      <c r="T121">
        <f t="shared" si="27"/>
        <v>0</v>
      </c>
      <c r="U121">
        <f t="shared" si="28"/>
        <v>0</v>
      </c>
      <c r="V121">
        <f t="shared" si="29"/>
        <v>1</v>
      </c>
    </row>
    <row r="122" spans="1:22" x14ac:dyDescent="0.3">
      <c r="A122" t="s">
        <v>7</v>
      </c>
      <c r="B122">
        <v>2006</v>
      </c>
      <c r="C122">
        <v>1</v>
      </c>
      <c r="D122" t="str">
        <f t="shared" si="15"/>
        <v>2006-01</v>
      </c>
      <c r="E122" s="2">
        <f>IF(MOD(ROW()-2,2)=0, INDEX('[1]2310008001-eng'!$B$13:$B$288, (ROW()-2)/2+1), INDEX('[1]2310008001-eng'!$C$13:$C$288, (ROW()-2)/2+1))*1000</f>
        <v>643697000</v>
      </c>
      <c r="F122" s="2">
        <f>IF(MOD(ROW()-2,2)=0, INDEX('[2]1710000901-eng'!$B$12:$B$73, INT((ROW()-2)/6)+1), INDEX('[2]1710000901-eng'!$C$12:$C$73, INT((ROW()-2)/6)+1))</f>
        <v>7604228</v>
      </c>
      <c r="G122">
        <f t="shared" si="16"/>
        <v>84.649881618489076</v>
      </c>
      <c r="H122">
        <v>1</v>
      </c>
      <c r="I122">
        <v>0</v>
      </c>
      <c r="J122">
        <f t="shared" si="17"/>
        <v>0</v>
      </c>
      <c r="K122">
        <f t="shared" si="18"/>
        <v>1</v>
      </c>
      <c r="L122">
        <f t="shared" si="19"/>
        <v>0</v>
      </c>
      <c r="M122">
        <f t="shared" si="20"/>
        <v>0</v>
      </c>
      <c r="N122">
        <f t="shared" si="21"/>
        <v>0</v>
      </c>
      <c r="O122">
        <f t="shared" si="22"/>
        <v>0</v>
      </c>
      <c r="P122">
        <f t="shared" si="23"/>
        <v>0</v>
      </c>
      <c r="Q122">
        <f t="shared" si="24"/>
        <v>0</v>
      </c>
      <c r="R122">
        <f t="shared" si="25"/>
        <v>0</v>
      </c>
      <c r="S122">
        <f t="shared" si="26"/>
        <v>0</v>
      </c>
      <c r="T122">
        <f t="shared" si="27"/>
        <v>0</v>
      </c>
      <c r="U122">
        <f t="shared" si="28"/>
        <v>0</v>
      </c>
      <c r="V122">
        <f t="shared" si="29"/>
        <v>0</v>
      </c>
    </row>
    <row r="123" spans="1:22" x14ac:dyDescent="0.3">
      <c r="A123" t="s">
        <v>22</v>
      </c>
      <c r="B123">
        <v>2006</v>
      </c>
      <c r="C123">
        <v>1</v>
      </c>
      <c r="D123" t="str">
        <f t="shared" si="15"/>
        <v>2006-01</v>
      </c>
      <c r="E123" s="2">
        <f>IF(MOD(ROW()-2,2)=0, INDEX('[1]2310008001-eng'!$B$13:$B$288, (ROW()-2)/2+1), INDEX('[1]2310008001-eng'!$C$13:$C$288, (ROW()-2)/2+1))*1000</f>
        <v>1212916000</v>
      </c>
      <c r="F123" s="2">
        <f>IF(MOD(ROW()-2,2)=0, INDEX('[2]1710000901-eng'!$B$12:$B$73, INT((ROW()-2)/6)+1), INDEX('[2]1710000901-eng'!$C$12:$C$73, INT((ROW()-2)/6)+1))</f>
        <v>12587149</v>
      </c>
      <c r="G123">
        <f t="shared" si="16"/>
        <v>96.361455640193029</v>
      </c>
      <c r="H123">
        <v>0</v>
      </c>
      <c r="I123">
        <v>0</v>
      </c>
      <c r="J123">
        <f t="shared" si="17"/>
        <v>0</v>
      </c>
      <c r="K123">
        <f t="shared" si="18"/>
        <v>1</v>
      </c>
      <c r="L123">
        <f t="shared" si="19"/>
        <v>0</v>
      </c>
      <c r="M123">
        <f t="shared" si="20"/>
        <v>0</v>
      </c>
      <c r="N123">
        <f t="shared" si="21"/>
        <v>0</v>
      </c>
      <c r="O123">
        <f t="shared" si="22"/>
        <v>0</v>
      </c>
      <c r="P123">
        <f t="shared" si="23"/>
        <v>0</v>
      </c>
      <c r="Q123">
        <f t="shared" si="24"/>
        <v>0</v>
      </c>
      <c r="R123">
        <f t="shared" si="25"/>
        <v>0</v>
      </c>
      <c r="S123">
        <f t="shared" si="26"/>
        <v>0</v>
      </c>
      <c r="T123">
        <f t="shared" si="27"/>
        <v>0</v>
      </c>
      <c r="U123">
        <f t="shared" si="28"/>
        <v>0</v>
      </c>
      <c r="V123">
        <f t="shared" si="29"/>
        <v>0</v>
      </c>
    </row>
    <row r="124" spans="1:22" x14ac:dyDescent="0.3">
      <c r="A124" t="s">
        <v>7</v>
      </c>
      <c r="B124">
        <v>2006</v>
      </c>
      <c r="C124">
        <v>2</v>
      </c>
      <c r="D124" t="str">
        <f t="shared" si="15"/>
        <v>2006-02</v>
      </c>
      <c r="E124" s="2">
        <f>IF(MOD(ROW()-2,2)=0, INDEX('[1]2310008001-eng'!$B$13:$B$288, (ROW()-2)/2+1), INDEX('[1]2310008001-eng'!$C$13:$C$288, (ROW()-2)/2+1))*1000</f>
        <v>632565000</v>
      </c>
      <c r="F124" s="2">
        <f>IF(MOD(ROW()-2,2)=0, INDEX('[2]1710000901-eng'!$B$12:$B$73, INT((ROW()-2)/6)+1), INDEX('[2]1710000901-eng'!$C$12:$C$73, INT((ROW()-2)/6)+1))</f>
        <v>7604228</v>
      </c>
      <c r="G124">
        <f t="shared" si="16"/>
        <v>83.185959179551162</v>
      </c>
      <c r="H124">
        <v>1</v>
      </c>
      <c r="I124">
        <v>0</v>
      </c>
      <c r="J124">
        <f t="shared" si="17"/>
        <v>0</v>
      </c>
      <c r="K124">
        <f t="shared" si="18"/>
        <v>0</v>
      </c>
      <c r="L124">
        <f t="shared" si="19"/>
        <v>1</v>
      </c>
      <c r="M124">
        <f t="shared" si="20"/>
        <v>0</v>
      </c>
      <c r="N124">
        <f t="shared" si="21"/>
        <v>0</v>
      </c>
      <c r="O124">
        <f t="shared" si="22"/>
        <v>0</v>
      </c>
      <c r="P124">
        <f t="shared" si="23"/>
        <v>0</v>
      </c>
      <c r="Q124">
        <f t="shared" si="24"/>
        <v>0</v>
      </c>
      <c r="R124">
        <f t="shared" si="25"/>
        <v>0</v>
      </c>
      <c r="S124">
        <f t="shared" si="26"/>
        <v>0</v>
      </c>
      <c r="T124">
        <f t="shared" si="27"/>
        <v>0</v>
      </c>
      <c r="U124">
        <f t="shared" si="28"/>
        <v>0</v>
      </c>
      <c r="V124">
        <f t="shared" si="29"/>
        <v>0</v>
      </c>
    </row>
    <row r="125" spans="1:22" x14ac:dyDescent="0.3">
      <c r="A125" t="s">
        <v>22</v>
      </c>
      <c r="B125">
        <v>2006</v>
      </c>
      <c r="C125">
        <v>2</v>
      </c>
      <c r="D125" t="str">
        <f t="shared" si="15"/>
        <v>2006-02</v>
      </c>
      <c r="E125" s="2">
        <f>IF(MOD(ROW()-2,2)=0, INDEX('[1]2310008001-eng'!$B$13:$B$288, (ROW()-2)/2+1), INDEX('[1]2310008001-eng'!$C$13:$C$288, (ROW()-2)/2+1))*1000</f>
        <v>1070745000</v>
      </c>
      <c r="F125" s="2">
        <f>IF(MOD(ROW()-2,2)=0, INDEX('[2]1710000901-eng'!$B$12:$B$73, INT((ROW()-2)/6)+1), INDEX('[2]1710000901-eng'!$C$12:$C$73, INT((ROW()-2)/6)+1))</f>
        <v>12587149</v>
      </c>
      <c r="G125">
        <f t="shared" si="16"/>
        <v>85.066523006917606</v>
      </c>
      <c r="H125">
        <v>0</v>
      </c>
      <c r="I125">
        <v>0</v>
      </c>
      <c r="J125">
        <f t="shared" si="17"/>
        <v>0</v>
      </c>
      <c r="K125">
        <f t="shared" si="18"/>
        <v>0</v>
      </c>
      <c r="L125">
        <f t="shared" si="19"/>
        <v>1</v>
      </c>
      <c r="M125">
        <f t="shared" si="20"/>
        <v>0</v>
      </c>
      <c r="N125">
        <f t="shared" si="21"/>
        <v>0</v>
      </c>
      <c r="O125">
        <f t="shared" si="22"/>
        <v>0</v>
      </c>
      <c r="P125">
        <f t="shared" si="23"/>
        <v>0</v>
      </c>
      <c r="Q125">
        <f t="shared" si="24"/>
        <v>0</v>
      </c>
      <c r="R125">
        <f t="shared" si="25"/>
        <v>0</v>
      </c>
      <c r="S125">
        <f t="shared" si="26"/>
        <v>0</v>
      </c>
      <c r="T125">
        <f t="shared" si="27"/>
        <v>0</v>
      </c>
      <c r="U125">
        <f t="shared" si="28"/>
        <v>0</v>
      </c>
      <c r="V125">
        <f t="shared" si="29"/>
        <v>0</v>
      </c>
    </row>
    <row r="126" spans="1:22" x14ac:dyDescent="0.3">
      <c r="A126" t="s">
        <v>7</v>
      </c>
      <c r="B126">
        <v>2006</v>
      </c>
      <c r="C126">
        <v>3</v>
      </c>
      <c r="D126" t="str">
        <f t="shared" si="15"/>
        <v>2006-03</v>
      </c>
      <c r="E126" s="2">
        <f>IF(MOD(ROW()-2,2)=0, INDEX('[1]2310008001-eng'!$B$13:$B$288, (ROW()-2)/2+1), INDEX('[1]2310008001-eng'!$C$13:$C$288, (ROW()-2)/2+1))*1000</f>
        <v>675254000</v>
      </c>
      <c r="F126" s="2">
        <f>IF(MOD(ROW()-2,2)=0, INDEX('[2]1710000901-eng'!$B$12:$B$73, INT((ROW()-2)/6)+1), INDEX('[2]1710000901-eng'!$C$12:$C$73, INT((ROW()-2)/6)+1))</f>
        <v>7604228</v>
      </c>
      <c r="G126">
        <f t="shared" si="16"/>
        <v>88.799809790027339</v>
      </c>
      <c r="H126">
        <v>1</v>
      </c>
      <c r="I126">
        <v>0</v>
      </c>
      <c r="J126">
        <f t="shared" si="17"/>
        <v>0</v>
      </c>
      <c r="K126">
        <f t="shared" si="18"/>
        <v>0</v>
      </c>
      <c r="L126">
        <f t="shared" si="19"/>
        <v>0</v>
      </c>
      <c r="M126">
        <f t="shared" si="20"/>
        <v>1</v>
      </c>
      <c r="N126">
        <f t="shared" si="21"/>
        <v>0</v>
      </c>
      <c r="O126">
        <f t="shared" si="22"/>
        <v>0</v>
      </c>
      <c r="P126">
        <f t="shared" si="23"/>
        <v>0</v>
      </c>
      <c r="Q126">
        <f t="shared" si="24"/>
        <v>0</v>
      </c>
      <c r="R126">
        <f t="shared" si="25"/>
        <v>0</v>
      </c>
      <c r="S126">
        <f t="shared" si="26"/>
        <v>0</v>
      </c>
      <c r="T126">
        <f t="shared" si="27"/>
        <v>0</v>
      </c>
      <c r="U126">
        <f t="shared" si="28"/>
        <v>0</v>
      </c>
      <c r="V126">
        <f t="shared" si="29"/>
        <v>0</v>
      </c>
    </row>
    <row r="127" spans="1:22" x14ac:dyDescent="0.3">
      <c r="A127" t="s">
        <v>22</v>
      </c>
      <c r="B127">
        <v>2006</v>
      </c>
      <c r="C127">
        <v>3</v>
      </c>
      <c r="D127" t="str">
        <f t="shared" si="15"/>
        <v>2006-03</v>
      </c>
      <c r="E127" s="2">
        <f>IF(MOD(ROW()-2,2)=0, INDEX('[1]2310008001-eng'!$B$13:$B$288, (ROW()-2)/2+1), INDEX('[1]2310008001-eng'!$C$13:$C$288, (ROW()-2)/2+1))*1000</f>
        <v>1244690000</v>
      </c>
      <c r="F127" s="2">
        <f>IF(MOD(ROW()-2,2)=0, INDEX('[2]1710000901-eng'!$B$12:$B$73, INT((ROW()-2)/6)+1), INDEX('[2]1710000901-eng'!$C$12:$C$73, INT((ROW()-2)/6)+1))</f>
        <v>12587149</v>
      </c>
      <c r="G127">
        <f t="shared" si="16"/>
        <v>98.88577627864737</v>
      </c>
      <c r="H127">
        <v>0</v>
      </c>
      <c r="I127">
        <v>0</v>
      </c>
      <c r="J127">
        <f t="shared" si="17"/>
        <v>0</v>
      </c>
      <c r="K127">
        <f t="shared" si="18"/>
        <v>0</v>
      </c>
      <c r="L127">
        <f t="shared" si="19"/>
        <v>0</v>
      </c>
      <c r="M127">
        <f t="shared" si="20"/>
        <v>1</v>
      </c>
      <c r="N127">
        <f t="shared" si="21"/>
        <v>0</v>
      </c>
      <c r="O127">
        <f t="shared" si="22"/>
        <v>0</v>
      </c>
      <c r="P127">
        <f t="shared" si="23"/>
        <v>0</v>
      </c>
      <c r="Q127">
        <f t="shared" si="24"/>
        <v>0</v>
      </c>
      <c r="R127">
        <f t="shared" si="25"/>
        <v>0</v>
      </c>
      <c r="S127">
        <f t="shared" si="26"/>
        <v>0</v>
      </c>
      <c r="T127">
        <f t="shared" si="27"/>
        <v>0</v>
      </c>
      <c r="U127">
        <f t="shared" si="28"/>
        <v>0</v>
      </c>
      <c r="V127">
        <f t="shared" si="29"/>
        <v>0</v>
      </c>
    </row>
    <row r="128" spans="1:22" x14ac:dyDescent="0.3">
      <c r="A128" t="s">
        <v>7</v>
      </c>
      <c r="B128">
        <v>2006</v>
      </c>
      <c r="C128">
        <v>4</v>
      </c>
      <c r="D128" t="str">
        <f t="shared" si="15"/>
        <v>2006-04</v>
      </c>
      <c r="E128" s="2">
        <f>IF(MOD(ROW()-2,2)=0, INDEX('[1]2310008001-eng'!$B$13:$B$288, (ROW()-2)/2+1), INDEX('[1]2310008001-eng'!$C$13:$C$288, (ROW()-2)/2+1))*1000</f>
        <v>631184000</v>
      </c>
      <c r="F128" s="2">
        <f>IF(MOD(ROW()-2,2)=0, INDEX('[2]1710000901-eng'!$B$12:$B$73, INT((ROW()-2)/6)+1), INDEX('[2]1710000901-eng'!$C$12:$C$73, INT((ROW()-2)/6)+1))</f>
        <v>7615496</v>
      </c>
      <c r="G128">
        <f t="shared" si="16"/>
        <v>82.881535227646367</v>
      </c>
      <c r="H128">
        <v>1</v>
      </c>
      <c r="I128">
        <v>0</v>
      </c>
      <c r="J128">
        <f t="shared" si="17"/>
        <v>0</v>
      </c>
      <c r="K128">
        <f t="shared" si="18"/>
        <v>0</v>
      </c>
      <c r="L128">
        <f t="shared" si="19"/>
        <v>0</v>
      </c>
      <c r="M128">
        <f t="shared" si="20"/>
        <v>0</v>
      </c>
      <c r="N128">
        <f t="shared" si="21"/>
        <v>1</v>
      </c>
      <c r="O128">
        <f t="shared" si="22"/>
        <v>0</v>
      </c>
      <c r="P128">
        <f t="shared" si="23"/>
        <v>0</v>
      </c>
      <c r="Q128">
        <f t="shared" si="24"/>
        <v>0</v>
      </c>
      <c r="R128">
        <f t="shared" si="25"/>
        <v>0</v>
      </c>
      <c r="S128">
        <f t="shared" si="26"/>
        <v>0</v>
      </c>
      <c r="T128">
        <f t="shared" si="27"/>
        <v>0</v>
      </c>
      <c r="U128">
        <f t="shared" si="28"/>
        <v>0</v>
      </c>
      <c r="V128">
        <f t="shared" si="29"/>
        <v>0</v>
      </c>
    </row>
    <row r="129" spans="1:22" x14ac:dyDescent="0.3">
      <c r="A129" t="s">
        <v>22</v>
      </c>
      <c r="B129">
        <v>2006</v>
      </c>
      <c r="C129">
        <v>4</v>
      </c>
      <c r="D129" t="str">
        <f t="shared" si="15"/>
        <v>2006-04</v>
      </c>
      <c r="E129" s="2">
        <f>IF(MOD(ROW()-2,2)=0, INDEX('[1]2310008001-eng'!$B$13:$B$288, (ROW()-2)/2+1), INDEX('[1]2310008001-eng'!$C$13:$C$288, (ROW()-2)/2+1))*1000</f>
        <v>1215305000</v>
      </c>
      <c r="F129" s="2">
        <f>IF(MOD(ROW()-2,2)=0, INDEX('[2]1710000901-eng'!$B$12:$B$73, INT((ROW()-2)/6)+1), INDEX('[2]1710000901-eng'!$C$12:$C$73, INT((ROW()-2)/6)+1))</f>
        <v>12618321</v>
      </c>
      <c r="G129">
        <f t="shared" si="16"/>
        <v>96.312734475529666</v>
      </c>
      <c r="H129">
        <v>0</v>
      </c>
      <c r="I129">
        <v>0</v>
      </c>
      <c r="J129">
        <f t="shared" si="17"/>
        <v>0</v>
      </c>
      <c r="K129">
        <f t="shared" si="18"/>
        <v>0</v>
      </c>
      <c r="L129">
        <f t="shared" si="19"/>
        <v>0</v>
      </c>
      <c r="M129">
        <f t="shared" si="20"/>
        <v>0</v>
      </c>
      <c r="N129">
        <f t="shared" si="21"/>
        <v>1</v>
      </c>
      <c r="O129">
        <f t="shared" si="22"/>
        <v>0</v>
      </c>
      <c r="P129">
        <f t="shared" si="23"/>
        <v>0</v>
      </c>
      <c r="Q129">
        <f t="shared" si="24"/>
        <v>0</v>
      </c>
      <c r="R129">
        <f t="shared" si="25"/>
        <v>0</v>
      </c>
      <c r="S129">
        <f t="shared" si="26"/>
        <v>0</v>
      </c>
      <c r="T129">
        <f t="shared" si="27"/>
        <v>0</v>
      </c>
      <c r="U129">
        <f t="shared" si="28"/>
        <v>0</v>
      </c>
      <c r="V129">
        <f t="shared" si="29"/>
        <v>0</v>
      </c>
    </row>
    <row r="130" spans="1:22" x14ac:dyDescent="0.3">
      <c r="A130" t="s">
        <v>7</v>
      </c>
      <c r="B130">
        <v>2006</v>
      </c>
      <c r="C130">
        <v>5</v>
      </c>
      <c r="D130" t="str">
        <f t="shared" si="15"/>
        <v>2006-05</v>
      </c>
      <c r="E130" s="2">
        <f>IF(MOD(ROW()-2,2)=0, INDEX('[1]2310008001-eng'!$B$13:$B$288, (ROW()-2)/2+1), INDEX('[1]2310008001-eng'!$C$13:$C$288, (ROW()-2)/2+1))*1000</f>
        <v>703096000</v>
      </c>
      <c r="F130" s="2">
        <f>IF(MOD(ROW()-2,2)=0, INDEX('[2]1710000901-eng'!$B$12:$B$73, INT((ROW()-2)/6)+1), INDEX('[2]1710000901-eng'!$C$12:$C$73, INT((ROW()-2)/6)+1))</f>
        <v>7615496</v>
      </c>
      <c r="G130">
        <f t="shared" si="16"/>
        <v>92.324387013006117</v>
      </c>
      <c r="H130">
        <v>1</v>
      </c>
      <c r="I130">
        <v>0</v>
      </c>
      <c r="J130">
        <f t="shared" si="17"/>
        <v>0</v>
      </c>
      <c r="K130">
        <f t="shared" si="18"/>
        <v>0</v>
      </c>
      <c r="L130">
        <f t="shared" si="19"/>
        <v>0</v>
      </c>
      <c r="M130">
        <f t="shared" si="20"/>
        <v>0</v>
      </c>
      <c r="N130">
        <f t="shared" si="21"/>
        <v>0</v>
      </c>
      <c r="O130">
        <f t="shared" si="22"/>
        <v>1</v>
      </c>
      <c r="P130">
        <f t="shared" si="23"/>
        <v>0</v>
      </c>
      <c r="Q130">
        <f t="shared" si="24"/>
        <v>0</v>
      </c>
      <c r="R130">
        <f t="shared" si="25"/>
        <v>0</v>
      </c>
      <c r="S130">
        <f t="shared" si="26"/>
        <v>0</v>
      </c>
      <c r="T130">
        <f t="shared" si="27"/>
        <v>0</v>
      </c>
      <c r="U130">
        <f t="shared" si="28"/>
        <v>0</v>
      </c>
      <c r="V130">
        <f t="shared" si="29"/>
        <v>0</v>
      </c>
    </row>
    <row r="131" spans="1:22" x14ac:dyDescent="0.3">
      <c r="A131" t="s">
        <v>22</v>
      </c>
      <c r="B131">
        <v>2006</v>
      </c>
      <c r="C131">
        <v>5</v>
      </c>
      <c r="D131" t="str">
        <f t="shared" ref="D131:D194" si="30">TEXT(DATE(B131,C131,1),"yyyy-mm")</f>
        <v>2006-05</v>
      </c>
      <c r="E131" s="2">
        <f>IF(MOD(ROW()-2,2)=0, INDEX('[1]2310008001-eng'!$B$13:$B$288, (ROW()-2)/2+1), INDEX('[1]2310008001-eng'!$C$13:$C$288, (ROW()-2)/2+1))*1000</f>
        <v>1310914000</v>
      </c>
      <c r="F131" s="2">
        <f>IF(MOD(ROW()-2,2)=0, INDEX('[2]1710000901-eng'!$B$12:$B$73, INT((ROW()-2)/6)+1), INDEX('[2]1710000901-eng'!$C$12:$C$73, INT((ROW()-2)/6)+1))</f>
        <v>12618321</v>
      </c>
      <c r="G131">
        <f t="shared" ref="G131:G194" si="31">E131/F131</f>
        <v>103.88973303183522</v>
      </c>
      <c r="H131">
        <v>0</v>
      </c>
      <c r="I131">
        <v>0</v>
      </c>
      <c r="J131">
        <f t="shared" ref="J131:J164" si="32">IF(AND(H131=1, I131=1), 1, 0)</f>
        <v>0</v>
      </c>
      <c r="K131">
        <f t="shared" ref="K131:K194" si="33">IF(C131=1,1,0)</f>
        <v>0</v>
      </c>
      <c r="L131">
        <f t="shared" ref="L131:L194" si="34">IF(C131=2,1,0)</f>
        <v>0</v>
      </c>
      <c r="M131">
        <f t="shared" ref="M131:M194" si="35">IF(C131=3,1,0)</f>
        <v>0</v>
      </c>
      <c r="N131">
        <f t="shared" ref="N131:N194" si="36">IF(C131=4,1,0)</f>
        <v>0</v>
      </c>
      <c r="O131">
        <f t="shared" ref="O131:O194" si="37">IF(C131=5,1,0)</f>
        <v>1</v>
      </c>
      <c r="P131">
        <f t="shared" ref="P131:P194" si="38">IF(C131=6,1,0)</f>
        <v>0</v>
      </c>
      <c r="Q131">
        <f t="shared" ref="Q131:Q194" si="39">IF(C131=7,1,0)</f>
        <v>0</v>
      </c>
      <c r="R131">
        <f t="shared" ref="R131:R194" si="40">IF(C131=8,1,0)</f>
        <v>0</v>
      </c>
      <c r="S131">
        <f t="shared" ref="S131:S194" si="41">IF(C131=9,1,0)</f>
        <v>0</v>
      </c>
      <c r="T131">
        <f t="shared" ref="T131:T194" si="42">IF(C131=10,1,0)</f>
        <v>0</v>
      </c>
      <c r="U131">
        <f t="shared" ref="U131:U194" si="43">IF(C131=11,1,0)</f>
        <v>0</v>
      </c>
      <c r="V131">
        <f t="shared" ref="V131:V194" si="44">IF(C131=12,1,0)</f>
        <v>0</v>
      </c>
    </row>
    <row r="132" spans="1:22" x14ac:dyDescent="0.3">
      <c r="A132" t="s">
        <v>7</v>
      </c>
      <c r="B132">
        <v>2006</v>
      </c>
      <c r="C132">
        <v>6</v>
      </c>
      <c r="D132" t="str">
        <f t="shared" si="30"/>
        <v>2006-06</v>
      </c>
      <c r="E132" s="2">
        <f>IF(MOD(ROW()-2,2)=0, INDEX('[1]2310008001-eng'!$B$13:$B$288, (ROW()-2)/2+1), INDEX('[1]2310008001-eng'!$C$13:$C$288, (ROW()-2)/2+1))*1000</f>
        <v>703051000</v>
      </c>
      <c r="F132" s="2">
        <f>IF(MOD(ROW()-2,2)=0, INDEX('[2]1710000901-eng'!$B$12:$B$73, INT((ROW()-2)/6)+1), INDEX('[2]1710000901-eng'!$C$12:$C$73, INT((ROW()-2)/6)+1))</f>
        <v>7615496</v>
      </c>
      <c r="G132">
        <f t="shared" si="31"/>
        <v>92.31847800852367</v>
      </c>
      <c r="H132">
        <v>1</v>
      </c>
      <c r="I132">
        <v>0</v>
      </c>
      <c r="J132">
        <f t="shared" si="32"/>
        <v>0</v>
      </c>
      <c r="K132">
        <f t="shared" si="33"/>
        <v>0</v>
      </c>
      <c r="L132">
        <f t="shared" si="34"/>
        <v>0</v>
      </c>
      <c r="M132">
        <f t="shared" si="35"/>
        <v>0</v>
      </c>
      <c r="N132">
        <f t="shared" si="36"/>
        <v>0</v>
      </c>
      <c r="O132">
        <f t="shared" si="37"/>
        <v>0</v>
      </c>
      <c r="P132">
        <f t="shared" si="38"/>
        <v>1</v>
      </c>
      <c r="Q132">
        <f t="shared" si="39"/>
        <v>0</v>
      </c>
      <c r="R132">
        <f t="shared" si="40"/>
        <v>0</v>
      </c>
      <c r="S132">
        <f t="shared" si="41"/>
        <v>0</v>
      </c>
      <c r="T132">
        <f t="shared" si="42"/>
        <v>0</v>
      </c>
      <c r="U132">
        <f t="shared" si="43"/>
        <v>0</v>
      </c>
      <c r="V132">
        <f t="shared" si="44"/>
        <v>0</v>
      </c>
    </row>
    <row r="133" spans="1:22" x14ac:dyDescent="0.3">
      <c r="A133" t="s">
        <v>22</v>
      </c>
      <c r="B133">
        <v>2006</v>
      </c>
      <c r="C133">
        <v>6</v>
      </c>
      <c r="D133" t="str">
        <f t="shared" si="30"/>
        <v>2006-06</v>
      </c>
      <c r="E133" s="2">
        <f>IF(MOD(ROW()-2,2)=0, INDEX('[1]2310008001-eng'!$B$13:$B$288, (ROW()-2)/2+1), INDEX('[1]2310008001-eng'!$C$13:$C$288, (ROW()-2)/2+1))*1000</f>
        <v>1322672000</v>
      </c>
      <c r="F133" s="2">
        <f>IF(MOD(ROW()-2,2)=0, INDEX('[2]1710000901-eng'!$B$12:$B$73, INT((ROW()-2)/6)+1), INDEX('[2]1710000901-eng'!$C$12:$C$73, INT((ROW()-2)/6)+1))</f>
        <v>12618321</v>
      </c>
      <c r="G133">
        <f t="shared" si="31"/>
        <v>104.82155272480388</v>
      </c>
      <c r="H133">
        <v>0</v>
      </c>
      <c r="I133">
        <v>0</v>
      </c>
      <c r="J133">
        <f t="shared" si="32"/>
        <v>0</v>
      </c>
      <c r="K133">
        <f t="shared" si="33"/>
        <v>0</v>
      </c>
      <c r="L133">
        <f t="shared" si="34"/>
        <v>0</v>
      </c>
      <c r="M133">
        <f t="shared" si="35"/>
        <v>0</v>
      </c>
      <c r="N133">
        <f t="shared" si="36"/>
        <v>0</v>
      </c>
      <c r="O133">
        <f t="shared" si="37"/>
        <v>0</v>
      </c>
      <c r="P133">
        <f t="shared" si="38"/>
        <v>1</v>
      </c>
      <c r="Q133">
        <f t="shared" si="39"/>
        <v>0</v>
      </c>
      <c r="R133">
        <f t="shared" si="40"/>
        <v>0</v>
      </c>
      <c r="S133">
        <f t="shared" si="41"/>
        <v>0</v>
      </c>
      <c r="T133">
        <f t="shared" si="42"/>
        <v>0</v>
      </c>
      <c r="U133">
        <f t="shared" si="43"/>
        <v>0</v>
      </c>
      <c r="V133">
        <f t="shared" si="44"/>
        <v>0</v>
      </c>
    </row>
    <row r="134" spans="1:22" x14ac:dyDescent="0.3">
      <c r="A134" t="s">
        <v>7</v>
      </c>
      <c r="B134">
        <v>2006</v>
      </c>
      <c r="C134">
        <v>7</v>
      </c>
      <c r="D134" t="str">
        <f t="shared" si="30"/>
        <v>2006-07</v>
      </c>
      <c r="E134" s="2">
        <f>IF(MOD(ROW()-2,2)=0, INDEX('[1]2310008001-eng'!$B$13:$B$288, (ROW()-2)/2+1), INDEX('[1]2310008001-eng'!$C$13:$C$288, (ROW()-2)/2+1))*1000</f>
        <v>712525000</v>
      </c>
      <c r="F134" s="2">
        <f>IF(MOD(ROW()-2,2)=0, INDEX('[2]1710000901-eng'!$B$12:$B$73, INT((ROW()-2)/6)+1), INDEX('[2]1710000901-eng'!$C$12:$C$73, INT((ROW()-2)/6)+1))</f>
        <v>7631901</v>
      </c>
      <c r="G134">
        <f t="shared" si="31"/>
        <v>93.361404976296214</v>
      </c>
      <c r="H134">
        <v>1</v>
      </c>
      <c r="I134">
        <v>0</v>
      </c>
      <c r="J134">
        <f t="shared" si="32"/>
        <v>0</v>
      </c>
      <c r="K134">
        <f t="shared" si="33"/>
        <v>0</v>
      </c>
      <c r="L134">
        <f t="shared" si="34"/>
        <v>0</v>
      </c>
      <c r="M134">
        <f t="shared" si="35"/>
        <v>0</v>
      </c>
      <c r="N134">
        <f t="shared" si="36"/>
        <v>0</v>
      </c>
      <c r="O134">
        <f t="shared" si="37"/>
        <v>0</v>
      </c>
      <c r="P134">
        <f t="shared" si="38"/>
        <v>0</v>
      </c>
      <c r="Q134">
        <f t="shared" si="39"/>
        <v>1</v>
      </c>
      <c r="R134">
        <f t="shared" si="40"/>
        <v>0</v>
      </c>
      <c r="S134">
        <f t="shared" si="41"/>
        <v>0</v>
      </c>
      <c r="T134">
        <f t="shared" si="42"/>
        <v>0</v>
      </c>
      <c r="U134">
        <f t="shared" si="43"/>
        <v>0</v>
      </c>
      <c r="V134">
        <f t="shared" si="44"/>
        <v>0</v>
      </c>
    </row>
    <row r="135" spans="1:22" x14ac:dyDescent="0.3">
      <c r="A135" t="s">
        <v>22</v>
      </c>
      <c r="B135">
        <v>2006</v>
      </c>
      <c r="C135">
        <v>7</v>
      </c>
      <c r="D135" t="str">
        <f t="shared" si="30"/>
        <v>2006-07</v>
      </c>
      <c r="E135" s="2">
        <f>IF(MOD(ROW()-2,2)=0, INDEX('[1]2310008001-eng'!$B$13:$B$288, (ROW()-2)/2+1), INDEX('[1]2310008001-eng'!$C$13:$C$288, (ROW()-2)/2+1))*1000</f>
        <v>1349203000</v>
      </c>
      <c r="F135" s="2">
        <f>IF(MOD(ROW()-2,2)=0, INDEX('[2]1710000901-eng'!$B$12:$B$73, INT((ROW()-2)/6)+1), INDEX('[2]1710000901-eng'!$C$12:$C$73, INT((ROW()-2)/6)+1))</f>
        <v>12661953</v>
      </c>
      <c r="G135">
        <f t="shared" si="31"/>
        <v>106.55567904887974</v>
      </c>
      <c r="H135">
        <v>0</v>
      </c>
      <c r="I135">
        <v>0</v>
      </c>
      <c r="J135">
        <f t="shared" si="32"/>
        <v>0</v>
      </c>
      <c r="K135">
        <f t="shared" si="33"/>
        <v>0</v>
      </c>
      <c r="L135">
        <f t="shared" si="34"/>
        <v>0</v>
      </c>
      <c r="M135">
        <f t="shared" si="35"/>
        <v>0</v>
      </c>
      <c r="N135">
        <f t="shared" si="36"/>
        <v>0</v>
      </c>
      <c r="O135">
        <f t="shared" si="37"/>
        <v>0</v>
      </c>
      <c r="P135">
        <f t="shared" si="38"/>
        <v>0</v>
      </c>
      <c r="Q135">
        <f t="shared" si="39"/>
        <v>1</v>
      </c>
      <c r="R135">
        <f t="shared" si="40"/>
        <v>0</v>
      </c>
      <c r="S135">
        <f t="shared" si="41"/>
        <v>0</v>
      </c>
      <c r="T135">
        <f t="shared" si="42"/>
        <v>0</v>
      </c>
      <c r="U135">
        <f t="shared" si="43"/>
        <v>0</v>
      </c>
      <c r="V135">
        <f t="shared" si="44"/>
        <v>0</v>
      </c>
    </row>
    <row r="136" spans="1:22" x14ac:dyDescent="0.3">
      <c r="A136" t="s">
        <v>7</v>
      </c>
      <c r="B136">
        <v>2006</v>
      </c>
      <c r="C136">
        <v>8</v>
      </c>
      <c r="D136" t="str">
        <f t="shared" si="30"/>
        <v>2006-08</v>
      </c>
      <c r="E136" s="2">
        <f>IF(MOD(ROW()-2,2)=0, INDEX('[1]2310008001-eng'!$B$13:$B$288, (ROW()-2)/2+1), INDEX('[1]2310008001-eng'!$C$13:$C$288, (ROW()-2)/2+1))*1000</f>
        <v>747850000</v>
      </c>
      <c r="F136" s="2">
        <f>IF(MOD(ROW()-2,2)=0, INDEX('[2]1710000901-eng'!$B$12:$B$73, INT((ROW()-2)/6)+1), INDEX('[2]1710000901-eng'!$C$12:$C$73, INT((ROW()-2)/6)+1))</f>
        <v>7631901</v>
      </c>
      <c r="G136">
        <f t="shared" si="31"/>
        <v>97.990002752918315</v>
      </c>
      <c r="H136">
        <v>1</v>
      </c>
      <c r="I136">
        <v>0</v>
      </c>
      <c r="J136">
        <f t="shared" si="32"/>
        <v>0</v>
      </c>
      <c r="K136">
        <f t="shared" si="33"/>
        <v>0</v>
      </c>
      <c r="L136">
        <f t="shared" si="34"/>
        <v>0</v>
      </c>
      <c r="M136">
        <f t="shared" si="35"/>
        <v>0</v>
      </c>
      <c r="N136">
        <f t="shared" si="36"/>
        <v>0</v>
      </c>
      <c r="O136">
        <f t="shared" si="37"/>
        <v>0</v>
      </c>
      <c r="P136">
        <f t="shared" si="38"/>
        <v>0</v>
      </c>
      <c r="Q136">
        <f t="shared" si="39"/>
        <v>0</v>
      </c>
      <c r="R136">
        <f t="shared" si="40"/>
        <v>1</v>
      </c>
      <c r="S136">
        <f t="shared" si="41"/>
        <v>0</v>
      </c>
      <c r="T136">
        <f t="shared" si="42"/>
        <v>0</v>
      </c>
      <c r="U136">
        <f t="shared" si="43"/>
        <v>0</v>
      </c>
      <c r="V136">
        <f t="shared" si="44"/>
        <v>0</v>
      </c>
    </row>
    <row r="137" spans="1:22" x14ac:dyDescent="0.3">
      <c r="A137" t="s">
        <v>22</v>
      </c>
      <c r="B137">
        <v>2006</v>
      </c>
      <c r="C137">
        <v>8</v>
      </c>
      <c r="D137" t="str">
        <f t="shared" si="30"/>
        <v>2006-08</v>
      </c>
      <c r="E137" s="2">
        <f>IF(MOD(ROW()-2,2)=0, INDEX('[1]2310008001-eng'!$B$13:$B$288, (ROW()-2)/2+1), INDEX('[1]2310008001-eng'!$C$13:$C$288, (ROW()-2)/2+1))*1000</f>
        <v>1421047000</v>
      </c>
      <c r="F137" s="2">
        <f>IF(MOD(ROW()-2,2)=0, INDEX('[2]1710000901-eng'!$B$12:$B$73, INT((ROW()-2)/6)+1), INDEX('[2]1710000901-eng'!$C$12:$C$73, INT((ROW()-2)/6)+1))</f>
        <v>12661953</v>
      </c>
      <c r="G137">
        <f t="shared" si="31"/>
        <v>112.22968526261312</v>
      </c>
      <c r="H137">
        <v>0</v>
      </c>
      <c r="I137">
        <v>0</v>
      </c>
      <c r="J137">
        <f t="shared" si="32"/>
        <v>0</v>
      </c>
      <c r="K137">
        <f t="shared" si="33"/>
        <v>0</v>
      </c>
      <c r="L137">
        <f t="shared" si="34"/>
        <v>0</v>
      </c>
      <c r="M137">
        <f t="shared" si="35"/>
        <v>0</v>
      </c>
      <c r="N137">
        <f t="shared" si="36"/>
        <v>0</v>
      </c>
      <c r="O137">
        <f t="shared" si="37"/>
        <v>0</v>
      </c>
      <c r="P137">
        <f t="shared" si="38"/>
        <v>0</v>
      </c>
      <c r="Q137">
        <f t="shared" si="39"/>
        <v>0</v>
      </c>
      <c r="R137">
        <f t="shared" si="40"/>
        <v>1</v>
      </c>
      <c r="S137">
        <f t="shared" si="41"/>
        <v>0</v>
      </c>
      <c r="T137">
        <f t="shared" si="42"/>
        <v>0</v>
      </c>
      <c r="U137">
        <f t="shared" si="43"/>
        <v>0</v>
      </c>
      <c r="V137">
        <f t="shared" si="44"/>
        <v>0</v>
      </c>
    </row>
    <row r="138" spans="1:22" x14ac:dyDescent="0.3">
      <c r="A138" t="s">
        <v>7</v>
      </c>
      <c r="B138">
        <v>2006</v>
      </c>
      <c r="C138">
        <v>9</v>
      </c>
      <c r="D138" t="str">
        <f t="shared" si="30"/>
        <v>2006-09</v>
      </c>
      <c r="E138" s="2">
        <f>IF(MOD(ROW()-2,2)=0, INDEX('[1]2310008001-eng'!$B$13:$B$288, (ROW()-2)/2+1), INDEX('[1]2310008001-eng'!$C$13:$C$288, (ROW()-2)/2+1))*1000</f>
        <v>662451000</v>
      </c>
      <c r="F138" s="2">
        <f>IF(MOD(ROW()-2,2)=0, INDEX('[2]1710000901-eng'!$B$12:$B$73, INT((ROW()-2)/6)+1), INDEX('[2]1710000901-eng'!$C$12:$C$73, INT((ROW()-2)/6)+1))</f>
        <v>7631901</v>
      </c>
      <c r="G138">
        <f t="shared" si="31"/>
        <v>86.800261166909792</v>
      </c>
      <c r="H138">
        <v>1</v>
      </c>
      <c r="I138">
        <v>0</v>
      </c>
      <c r="J138">
        <f t="shared" si="32"/>
        <v>0</v>
      </c>
      <c r="K138">
        <f t="shared" si="33"/>
        <v>0</v>
      </c>
      <c r="L138">
        <f t="shared" si="34"/>
        <v>0</v>
      </c>
      <c r="M138">
        <f t="shared" si="35"/>
        <v>0</v>
      </c>
      <c r="N138">
        <f t="shared" si="36"/>
        <v>0</v>
      </c>
      <c r="O138">
        <f t="shared" si="37"/>
        <v>0</v>
      </c>
      <c r="P138">
        <f t="shared" si="38"/>
        <v>0</v>
      </c>
      <c r="Q138">
        <f t="shared" si="39"/>
        <v>0</v>
      </c>
      <c r="R138">
        <f t="shared" si="40"/>
        <v>0</v>
      </c>
      <c r="S138">
        <f t="shared" si="41"/>
        <v>1</v>
      </c>
      <c r="T138">
        <f t="shared" si="42"/>
        <v>0</v>
      </c>
      <c r="U138">
        <f t="shared" si="43"/>
        <v>0</v>
      </c>
      <c r="V138">
        <f t="shared" si="44"/>
        <v>0</v>
      </c>
    </row>
    <row r="139" spans="1:22" x14ac:dyDescent="0.3">
      <c r="A139" t="s">
        <v>22</v>
      </c>
      <c r="B139">
        <v>2006</v>
      </c>
      <c r="C139">
        <v>9</v>
      </c>
      <c r="D139" t="str">
        <f t="shared" si="30"/>
        <v>2006-09</v>
      </c>
      <c r="E139" s="2">
        <f>IF(MOD(ROW()-2,2)=0, INDEX('[1]2310008001-eng'!$B$13:$B$288, (ROW()-2)/2+1), INDEX('[1]2310008001-eng'!$C$13:$C$288, (ROW()-2)/2+1))*1000</f>
        <v>1244924000</v>
      </c>
      <c r="F139" s="2">
        <f>IF(MOD(ROW()-2,2)=0, INDEX('[2]1710000901-eng'!$B$12:$B$73, INT((ROW()-2)/6)+1), INDEX('[2]1710000901-eng'!$C$12:$C$73, INT((ROW()-2)/6)+1))</f>
        <v>12661953</v>
      </c>
      <c r="G139">
        <f t="shared" si="31"/>
        <v>98.3200616840072</v>
      </c>
      <c r="H139">
        <v>0</v>
      </c>
      <c r="I139">
        <v>0</v>
      </c>
      <c r="J139">
        <f t="shared" si="32"/>
        <v>0</v>
      </c>
      <c r="K139">
        <f t="shared" si="33"/>
        <v>0</v>
      </c>
      <c r="L139">
        <f t="shared" si="34"/>
        <v>0</v>
      </c>
      <c r="M139">
        <f t="shared" si="35"/>
        <v>0</v>
      </c>
      <c r="N139">
        <f t="shared" si="36"/>
        <v>0</v>
      </c>
      <c r="O139">
        <f t="shared" si="37"/>
        <v>0</v>
      </c>
      <c r="P139">
        <f t="shared" si="38"/>
        <v>0</v>
      </c>
      <c r="Q139">
        <f t="shared" si="39"/>
        <v>0</v>
      </c>
      <c r="R139">
        <f t="shared" si="40"/>
        <v>0</v>
      </c>
      <c r="S139">
        <f t="shared" si="41"/>
        <v>1</v>
      </c>
      <c r="T139">
        <f t="shared" si="42"/>
        <v>0</v>
      </c>
      <c r="U139">
        <f t="shared" si="43"/>
        <v>0</v>
      </c>
      <c r="V139">
        <f t="shared" si="44"/>
        <v>0</v>
      </c>
    </row>
    <row r="140" spans="1:22" x14ac:dyDescent="0.3">
      <c r="A140" t="s">
        <v>7</v>
      </c>
      <c r="B140">
        <v>2006</v>
      </c>
      <c r="C140">
        <v>10</v>
      </c>
      <c r="D140" t="str">
        <f t="shared" si="30"/>
        <v>2006-10</v>
      </c>
      <c r="E140" s="2">
        <f>IF(MOD(ROW()-2,2)=0, INDEX('[1]2310008001-eng'!$B$13:$B$288, (ROW()-2)/2+1), INDEX('[1]2310008001-eng'!$C$13:$C$288, (ROW()-2)/2+1))*1000</f>
        <v>694006000</v>
      </c>
      <c r="F140" s="2">
        <f>IF(MOD(ROW()-2,2)=0, INDEX('[2]1710000901-eng'!$B$12:$B$73, INT((ROW()-2)/6)+1), INDEX('[2]1710000901-eng'!$C$12:$C$73, INT((ROW()-2)/6)+1))</f>
        <v>7652881</v>
      </c>
      <c r="G140">
        <f t="shared" si="31"/>
        <v>90.685586251765841</v>
      </c>
      <c r="H140">
        <v>1</v>
      </c>
      <c r="I140">
        <v>0</v>
      </c>
      <c r="J140">
        <f t="shared" si="32"/>
        <v>0</v>
      </c>
      <c r="K140">
        <f t="shared" si="33"/>
        <v>0</v>
      </c>
      <c r="L140">
        <f t="shared" si="34"/>
        <v>0</v>
      </c>
      <c r="M140">
        <f t="shared" si="35"/>
        <v>0</v>
      </c>
      <c r="N140">
        <f t="shared" si="36"/>
        <v>0</v>
      </c>
      <c r="O140">
        <f t="shared" si="37"/>
        <v>0</v>
      </c>
      <c r="P140">
        <f t="shared" si="38"/>
        <v>0</v>
      </c>
      <c r="Q140">
        <f t="shared" si="39"/>
        <v>0</v>
      </c>
      <c r="R140">
        <f t="shared" si="40"/>
        <v>0</v>
      </c>
      <c r="S140">
        <f t="shared" si="41"/>
        <v>0</v>
      </c>
      <c r="T140">
        <f t="shared" si="42"/>
        <v>1</v>
      </c>
      <c r="U140">
        <f t="shared" si="43"/>
        <v>0</v>
      </c>
      <c r="V140">
        <f t="shared" si="44"/>
        <v>0</v>
      </c>
    </row>
    <row r="141" spans="1:22" x14ac:dyDescent="0.3">
      <c r="A141" t="s">
        <v>22</v>
      </c>
      <c r="B141">
        <v>2006</v>
      </c>
      <c r="C141">
        <v>10</v>
      </c>
      <c r="D141" t="str">
        <f t="shared" si="30"/>
        <v>2006-10</v>
      </c>
      <c r="E141" s="2">
        <f>IF(MOD(ROW()-2,2)=0, INDEX('[1]2310008001-eng'!$B$13:$B$288, (ROW()-2)/2+1), INDEX('[1]2310008001-eng'!$C$13:$C$288, (ROW()-2)/2+1))*1000</f>
        <v>1313228000</v>
      </c>
      <c r="F141" s="2">
        <f>IF(MOD(ROW()-2,2)=0, INDEX('[2]1710000901-eng'!$B$12:$B$73, INT((ROW()-2)/6)+1), INDEX('[2]1710000901-eng'!$C$12:$C$73, INT((ROW()-2)/6)+1))</f>
        <v>12701324</v>
      </c>
      <c r="G141">
        <f t="shared" si="31"/>
        <v>103.39300060371659</v>
      </c>
      <c r="H141">
        <v>0</v>
      </c>
      <c r="I141">
        <v>0</v>
      </c>
      <c r="J141">
        <f t="shared" si="32"/>
        <v>0</v>
      </c>
      <c r="K141">
        <f t="shared" si="33"/>
        <v>0</v>
      </c>
      <c r="L141">
        <f t="shared" si="34"/>
        <v>0</v>
      </c>
      <c r="M141">
        <f t="shared" si="35"/>
        <v>0</v>
      </c>
      <c r="N141">
        <f t="shared" si="36"/>
        <v>0</v>
      </c>
      <c r="O141">
        <f t="shared" si="37"/>
        <v>0</v>
      </c>
      <c r="P141">
        <f t="shared" si="38"/>
        <v>0</v>
      </c>
      <c r="Q141">
        <f t="shared" si="39"/>
        <v>0</v>
      </c>
      <c r="R141">
        <f t="shared" si="40"/>
        <v>0</v>
      </c>
      <c r="S141">
        <f t="shared" si="41"/>
        <v>0</v>
      </c>
      <c r="T141">
        <f t="shared" si="42"/>
        <v>1</v>
      </c>
      <c r="U141">
        <f t="shared" si="43"/>
        <v>0</v>
      </c>
      <c r="V141">
        <f t="shared" si="44"/>
        <v>0</v>
      </c>
    </row>
    <row r="142" spans="1:22" x14ac:dyDescent="0.3">
      <c r="A142" t="s">
        <v>7</v>
      </c>
      <c r="B142">
        <v>2006</v>
      </c>
      <c r="C142">
        <v>11</v>
      </c>
      <c r="D142" t="str">
        <f t="shared" si="30"/>
        <v>2006-11</v>
      </c>
      <c r="E142" s="2">
        <f>IF(MOD(ROW()-2,2)=0, INDEX('[1]2310008001-eng'!$B$13:$B$288, (ROW()-2)/2+1), INDEX('[1]2310008001-eng'!$C$13:$C$288, (ROW()-2)/2+1))*1000</f>
        <v>671271000</v>
      </c>
      <c r="F142" s="2">
        <f>IF(MOD(ROW()-2,2)=0, INDEX('[2]1710000901-eng'!$B$12:$B$73, INT((ROW()-2)/6)+1), INDEX('[2]1710000901-eng'!$C$12:$C$73, INT((ROW()-2)/6)+1))</f>
        <v>7652881</v>
      </c>
      <c r="G142">
        <f t="shared" si="31"/>
        <v>87.71480962529013</v>
      </c>
      <c r="H142">
        <v>1</v>
      </c>
      <c r="I142">
        <v>0</v>
      </c>
      <c r="J142">
        <f t="shared" si="32"/>
        <v>0</v>
      </c>
      <c r="K142">
        <f t="shared" si="33"/>
        <v>0</v>
      </c>
      <c r="L142">
        <f t="shared" si="34"/>
        <v>0</v>
      </c>
      <c r="M142">
        <f t="shared" si="35"/>
        <v>0</v>
      </c>
      <c r="N142">
        <f t="shared" si="36"/>
        <v>0</v>
      </c>
      <c r="O142">
        <f t="shared" si="37"/>
        <v>0</v>
      </c>
      <c r="P142">
        <f t="shared" si="38"/>
        <v>0</v>
      </c>
      <c r="Q142">
        <f t="shared" si="39"/>
        <v>0</v>
      </c>
      <c r="R142">
        <f t="shared" si="40"/>
        <v>0</v>
      </c>
      <c r="S142">
        <f t="shared" si="41"/>
        <v>0</v>
      </c>
      <c r="T142">
        <f t="shared" si="42"/>
        <v>0</v>
      </c>
      <c r="U142">
        <f t="shared" si="43"/>
        <v>1</v>
      </c>
      <c r="V142">
        <f t="shared" si="44"/>
        <v>0</v>
      </c>
    </row>
    <row r="143" spans="1:22" x14ac:dyDescent="0.3">
      <c r="A143" t="s">
        <v>22</v>
      </c>
      <c r="B143">
        <v>2006</v>
      </c>
      <c r="C143">
        <v>11</v>
      </c>
      <c r="D143" t="str">
        <f t="shared" si="30"/>
        <v>2006-11</v>
      </c>
      <c r="E143" s="2">
        <f>IF(MOD(ROW()-2,2)=0, INDEX('[1]2310008001-eng'!$B$13:$B$288, (ROW()-2)/2+1), INDEX('[1]2310008001-eng'!$C$13:$C$288, (ROW()-2)/2+1))*1000</f>
        <v>1261611000</v>
      </c>
      <c r="F143" s="2">
        <f>IF(MOD(ROW()-2,2)=0, INDEX('[2]1710000901-eng'!$B$12:$B$73, INT((ROW()-2)/6)+1), INDEX('[2]1710000901-eng'!$C$12:$C$73, INT((ROW()-2)/6)+1))</f>
        <v>12701324</v>
      </c>
      <c r="G143">
        <f t="shared" si="31"/>
        <v>99.329093565363735</v>
      </c>
      <c r="H143">
        <v>0</v>
      </c>
      <c r="I143">
        <v>0</v>
      </c>
      <c r="J143">
        <f t="shared" si="32"/>
        <v>0</v>
      </c>
      <c r="K143">
        <f t="shared" si="33"/>
        <v>0</v>
      </c>
      <c r="L143">
        <f t="shared" si="34"/>
        <v>0</v>
      </c>
      <c r="M143">
        <f t="shared" si="35"/>
        <v>0</v>
      </c>
      <c r="N143">
        <f t="shared" si="36"/>
        <v>0</v>
      </c>
      <c r="O143">
        <f t="shared" si="37"/>
        <v>0</v>
      </c>
      <c r="P143">
        <f t="shared" si="38"/>
        <v>0</v>
      </c>
      <c r="Q143">
        <f t="shared" si="39"/>
        <v>0</v>
      </c>
      <c r="R143">
        <f t="shared" si="40"/>
        <v>0</v>
      </c>
      <c r="S143">
        <f t="shared" si="41"/>
        <v>0</v>
      </c>
      <c r="T143">
        <f t="shared" si="42"/>
        <v>0</v>
      </c>
      <c r="U143">
        <f t="shared" si="43"/>
        <v>1</v>
      </c>
      <c r="V143">
        <f t="shared" si="44"/>
        <v>0</v>
      </c>
    </row>
    <row r="144" spans="1:22" x14ac:dyDescent="0.3">
      <c r="A144" t="s">
        <v>7</v>
      </c>
      <c r="B144">
        <v>2006</v>
      </c>
      <c r="C144">
        <v>12</v>
      </c>
      <c r="D144" t="str">
        <f t="shared" si="30"/>
        <v>2006-12</v>
      </c>
      <c r="E144" s="2">
        <f>IF(MOD(ROW()-2,2)=0, INDEX('[1]2310008001-eng'!$B$13:$B$288, (ROW()-2)/2+1), INDEX('[1]2310008001-eng'!$C$13:$C$288, (ROW()-2)/2+1))*1000</f>
        <v>682116000</v>
      </c>
      <c r="F144" s="2">
        <f>IF(MOD(ROW()-2,2)=0, INDEX('[2]1710000901-eng'!$B$12:$B$73, INT((ROW()-2)/6)+1), INDEX('[2]1710000901-eng'!$C$12:$C$73, INT((ROW()-2)/6)+1))</f>
        <v>7652881</v>
      </c>
      <c r="G144">
        <f t="shared" si="31"/>
        <v>89.131922997365308</v>
      </c>
      <c r="H144">
        <v>1</v>
      </c>
      <c r="I144">
        <v>0</v>
      </c>
      <c r="J144">
        <f t="shared" si="32"/>
        <v>0</v>
      </c>
      <c r="K144">
        <f t="shared" si="33"/>
        <v>0</v>
      </c>
      <c r="L144">
        <f t="shared" si="34"/>
        <v>0</v>
      </c>
      <c r="M144">
        <f t="shared" si="35"/>
        <v>0</v>
      </c>
      <c r="N144">
        <f t="shared" si="36"/>
        <v>0</v>
      </c>
      <c r="O144">
        <f t="shared" si="37"/>
        <v>0</v>
      </c>
      <c r="P144">
        <f t="shared" si="38"/>
        <v>0</v>
      </c>
      <c r="Q144">
        <f t="shared" si="39"/>
        <v>0</v>
      </c>
      <c r="R144">
        <f t="shared" si="40"/>
        <v>0</v>
      </c>
      <c r="S144">
        <f t="shared" si="41"/>
        <v>0</v>
      </c>
      <c r="T144">
        <f t="shared" si="42"/>
        <v>0</v>
      </c>
      <c r="U144">
        <f t="shared" si="43"/>
        <v>0</v>
      </c>
      <c r="V144">
        <f t="shared" si="44"/>
        <v>1</v>
      </c>
    </row>
    <row r="145" spans="1:22" x14ac:dyDescent="0.3">
      <c r="A145" t="s">
        <v>22</v>
      </c>
      <c r="B145">
        <v>2006</v>
      </c>
      <c r="C145">
        <v>12</v>
      </c>
      <c r="D145" t="str">
        <f t="shared" si="30"/>
        <v>2006-12</v>
      </c>
      <c r="E145" s="2">
        <f>IF(MOD(ROW()-2,2)=0, INDEX('[1]2310008001-eng'!$B$13:$B$288, (ROW()-2)/2+1), INDEX('[1]2310008001-eng'!$C$13:$C$288, (ROW()-2)/2+1))*1000</f>
        <v>1301412000</v>
      </c>
      <c r="F145" s="2">
        <f>IF(MOD(ROW()-2,2)=0, INDEX('[2]1710000901-eng'!$B$12:$B$73, INT((ROW()-2)/6)+1), INDEX('[2]1710000901-eng'!$C$12:$C$73, INT((ROW()-2)/6)+1))</f>
        <v>12701324</v>
      </c>
      <c r="G145">
        <f t="shared" si="31"/>
        <v>102.46270388819308</v>
      </c>
      <c r="H145">
        <v>0</v>
      </c>
      <c r="I145">
        <v>0</v>
      </c>
      <c r="J145">
        <f t="shared" si="32"/>
        <v>0</v>
      </c>
      <c r="K145">
        <f t="shared" si="33"/>
        <v>0</v>
      </c>
      <c r="L145">
        <f t="shared" si="34"/>
        <v>0</v>
      </c>
      <c r="M145">
        <f t="shared" si="35"/>
        <v>0</v>
      </c>
      <c r="N145">
        <f t="shared" si="36"/>
        <v>0</v>
      </c>
      <c r="O145">
        <f t="shared" si="37"/>
        <v>0</v>
      </c>
      <c r="P145">
        <f t="shared" si="38"/>
        <v>0</v>
      </c>
      <c r="Q145">
        <f t="shared" si="39"/>
        <v>0</v>
      </c>
      <c r="R145">
        <f t="shared" si="40"/>
        <v>0</v>
      </c>
      <c r="S145">
        <f t="shared" si="41"/>
        <v>0</v>
      </c>
      <c r="T145">
        <f t="shared" si="42"/>
        <v>0</v>
      </c>
      <c r="U145">
        <f t="shared" si="43"/>
        <v>0</v>
      </c>
      <c r="V145">
        <f t="shared" si="44"/>
        <v>1</v>
      </c>
    </row>
    <row r="146" spans="1:22" x14ac:dyDescent="0.3">
      <c r="A146" t="s">
        <v>7</v>
      </c>
      <c r="B146">
        <v>2007</v>
      </c>
      <c r="C146">
        <v>1</v>
      </c>
      <c r="D146" t="str">
        <f t="shared" si="30"/>
        <v>2007-01</v>
      </c>
      <c r="E146" s="2">
        <f>IF(MOD(ROW()-2,2)=0, INDEX('[1]2310008001-eng'!$B$13:$B$288, (ROW()-2)/2+1), INDEX('[1]2310008001-eng'!$C$13:$C$288, (ROW()-2)/2+1))*1000</f>
        <v>662395000</v>
      </c>
      <c r="F146" s="2">
        <f>IF(MOD(ROW()-2,2)=0, INDEX('[2]1710000901-eng'!$B$12:$B$73, INT((ROW()-2)/6)+1), INDEX('[2]1710000901-eng'!$C$12:$C$73, INT((ROW()-2)/6)+1))</f>
        <v>7661201</v>
      </c>
      <c r="G146">
        <f t="shared" si="31"/>
        <v>86.460986991465177</v>
      </c>
      <c r="H146">
        <v>1</v>
      </c>
      <c r="I146">
        <v>0</v>
      </c>
      <c r="J146">
        <f t="shared" si="32"/>
        <v>0</v>
      </c>
      <c r="K146">
        <f t="shared" si="33"/>
        <v>1</v>
      </c>
      <c r="L146">
        <f t="shared" si="34"/>
        <v>0</v>
      </c>
      <c r="M146">
        <f t="shared" si="35"/>
        <v>0</v>
      </c>
      <c r="N146">
        <f t="shared" si="36"/>
        <v>0</v>
      </c>
      <c r="O146">
        <f t="shared" si="37"/>
        <v>0</v>
      </c>
      <c r="P146">
        <f t="shared" si="38"/>
        <v>0</v>
      </c>
      <c r="Q146">
        <f t="shared" si="39"/>
        <v>0</v>
      </c>
      <c r="R146">
        <f t="shared" si="40"/>
        <v>0</v>
      </c>
      <c r="S146">
        <f t="shared" si="41"/>
        <v>0</v>
      </c>
      <c r="T146">
        <f t="shared" si="42"/>
        <v>0</v>
      </c>
      <c r="U146">
        <f t="shared" si="43"/>
        <v>0</v>
      </c>
      <c r="V146">
        <f t="shared" si="44"/>
        <v>0</v>
      </c>
    </row>
    <row r="147" spans="1:22" x14ac:dyDescent="0.3">
      <c r="A147" t="s">
        <v>22</v>
      </c>
      <c r="B147">
        <v>2007</v>
      </c>
      <c r="C147">
        <v>1</v>
      </c>
      <c r="D147" t="str">
        <f t="shared" si="30"/>
        <v>2007-01</v>
      </c>
      <c r="E147" s="2">
        <f>IF(MOD(ROW()-2,2)=0, INDEX('[1]2310008001-eng'!$B$13:$B$288, (ROW()-2)/2+1), INDEX('[1]2310008001-eng'!$C$13:$C$288, (ROW()-2)/2+1))*1000</f>
        <v>1263683000</v>
      </c>
      <c r="F147" s="2">
        <f>IF(MOD(ROW()-2,2)=0, INDEX('[2]1710000901-eng'!$B$12:$B$73, INT((ROW()-2)/6)+1), INDEX('[2]1710000901-eng'!$C$12:$C$73, INT((ROW()-2)/6)+1))</f>
        <v>12703327</v>
      </c>
      <c r="G147">
        <f t="shared" si="31"/>
        <v>99.476538705175429</v>
      </c>
      <c r="H147">
        <v>0</v>
      </c>
      <c r="I147">
        <v>0</v>
      </c>
      <c r="J147">
        <f t="shared" si="32"/>
        <v>0</v>
      </c>
      <c r="K147">
        <f t="shared" si="33"/>
        <v>1</v>
      </c>
      <c r="L147">
        <f t="shared" si="34"/>
        <v>0</v>
      </c>
      <c r="M147">
        <f t="shared" si="35"/>
        <v>0</v>
      </c>
      <c r="N147">
        <f t="shared" si="36"/>
        <v>0</v>
      </c>
      <c r="O147">
        <f t="shared" si="37"/>
        <v>0</v>
      </c>
      <c r="P147">
        <f t="shared" si="38"/>
        <v>0</v>
      </c>
      <c r="Q147">
        <f t="shared" si="39"/>
        <v>0</v>
      </c>
      <c r="R147">
        <f t="shared" si="40"/>
        <v>0</v>
      </c>
      <c r="S147">
        <f t="shared" si="41"/>
        <v>0</v>
      </c>
      <c r="T147">
        <f t="shared" si="42"/>
        <v>0</v>
      </c>
      <c r="U147">
        <f t="shared" si="43"/>
        <v>0</v>
      </c>
      <c r="V147">
        <f t="shared" si="44"/>
        <v>0</v>
      </c>
    </row>
    <row r="148" spans="1:22" x14ac:dyDescent="0.3">
      <c r="A148" t="s">
        <v>7</v>
      </c>
      <c r="B148">
        <v>2007</v>
      </c>
      <c r="C148">
        <v>2</v>
      </c>
      <c r="D148" t="str">
        <f t="shared" si="30"/>
        <v>2007-02</v>
      </c>
      <c r="E148" s="2">
        <f>IF(MOD(ROW()-2,2)=0, INDEX('[1]2310008001-eng'!$B$13:$B$288, (ROW()-2)/2+1), INDEX('[1]2310008001-eng'!$C$13:$C$288, (ROW()-2)/2+1))*1000</f>
        <v>654974000</v>
      </c>
      <c r="F148" s="2">
        <f>IF(MOD(ROW()-2,2)=0, INDEX('[2]1710000901-eng'!$B$12:$B$73, INT((ROW()-2)/6)+1), INDEX('[2]1710000901-eng'!$C$12:$C$73, INT((ROW()-2)/6)+1))</f>
        <v>7661201</v>
      </c>
      <c r="G148">
        <f t="shared" si="31"/>
        <v>85.492339908586132</v>
      </c>
      <c r="H148">
        <v>1</v>
      </c>
      <c r="I148">
        <v>0</v>
      </c>
      <c r="J148">
        <f t="shared" si="32"/>
        <v>0</v>
      </c>
      <c r="K148">
        <f t="shared" si="33"/>
        <v>0</v>
      </c>
      <c r="L148">
        <f t="shared" si="34"/>
        <v>1</v>
      </c>
      <c r="M148">
        <f t="shared" si="35"/>
        <v>0</v>
      </c>
      <c r="N148">
        <f t="shared" si="36"/>
        <v>0</v>
      </c>
      <c r="O148">
        <f t="shared" si="37"/>
        <v>0</v>
      </c>
      <c r="P148">
        <f t="shared" si="38"/>
        <v>0</v>
      </c>
      <c r="Q148">
        <f t="shared" si="39"/>
        <v>0</v>
      </c>
      <c r="R148">
        <f t="shared" si="40"/>
        <v>0</v>
      </c>
      <c r="S148">
        <f t="shared" si="41"/>
        <v>0</v>
      </c>
      <c r="T148">
        <f t="shared" si="42"/>
        <v>0</v>
      </c>
      <c r="U148">
        <f t="shared" si="43"/>
        <v>0</v>
      </c>
      <c r="V148">
        <f t="shared" si="44"/>
        <v>0</v>
      </c>
    </row>
    <row r="149" spans="1:22" x14ac:dyDescent="0.3">
      <c r="A149" t="s">
        <v>22</v>
      </c>
      <c r="B149">
        <v>2007</v>
      </c>
      <c r="C149">
        <v>2</v>
      </c>
      <c r="D149" t="str">
        <f t="shared" si="30"/>
        <v>2007-02</v>
      </c>
      <c r="E149" s="2">
        <f>IF(MOD(ROW()-2,2)=0, INDEX('[1]2310008001-eng'!$B$13:$B$288, (ROW()-2)/2+1), INDEX('[1]2310008001-eng'!$C$13:$C$288, (ROW()-2)/2+1))*1000</f>
        <v>1183415000</v>
      </c>
      <c r="F149" s="2">
        <f>IF(MOD(ROW()-2,2)=0, INDEX('[2]1710000901-eng'!$B$12:$B$73, INT((ROW()-2)/6)+1), INDEX('[2]1710000901-eng'!$C$12:$C$73, INT((ROW()-2)/6)+1))</f>
        <v>12703327</v>
      </c>
      <c r="G149">
        <f t="shared" si="31"/>
        <v>93.157879034366346</v>
      </c>
      <c r="H149">
        <v>0</v>
      </c>
      <c r="I149">
        <v>0</v>
      </c>
      <c r="J149">
        <f t="shared" si="32"/>
        <v>0</v>
      </c>
      <c r="K149">
        <f t="shared" si="33"/>
        <v>0</v>
      </c>
      <c r="L149">
        <f t="shared" si="34"/>
        <v>1</v>
      </c>
      <c r="M149">
        <f t="shared" si="35"/>
        <v>0</v>
      </c>
      <c r="N149">
        <f t="shared" si="36"/>
        <v>0</v>
      </c>
      <c r="O149">
        <f t="shared" si="37"/>
        <v>0</v>
      </c>
      <c r="P149">
        <f t="shared" si="38"/>
        <v>0</v>
      </c>
      <c r="Q149">
        <f t="shared" si="39"/>
        <v>0</v>
      </c>
      <c r="R149">
        <f t="shared" si="40"/>
        <v>0</v>
      </c>
      <c r="S149">
        <f t="shared" si="41"/>
        <v>0</v>
      </c>
      <c r="T149">
        <f t="shared" si="42"/>
        <v>0</v>
      </c>
      <c r="U149">
        <f t="shared" si="43"/>
        <v>0</v>
      </c>
      <c r="V149">
        <f t="shared" si="44"/>
        <v>0</v>
      </c>
    </row>
    <row r="150" spans="1:22" x14ac:dyDescent="0.3">
      <c r="A150" t="s">
        <v>7</v>
      </c>
      <c r="B150">
        <v>2007</v>
      </c>
      <c r="C150">
        <v>3</v>
      </c>
      <c r="D150" t="str">
        <f t="shared" si="30"/>
        <v>2007-03</v>
      </c>
      <c r="E150" s="2">
        <f>IF(MOD(ROW()-2,2)=0, INDEX('[1]2310008001-eng'!$B$13:$B$288, (ROW()-2)/2+1), INDEX('[1]2310008001-eng'!$C$13:$C$288, (ROW()-2)/2+1))*1000</f>
        <v>678289000</v>
      </c>
      <c r="F150" s="2">
        <f>IF(MOD(ROW()-2,2)=0, INDEX('[2]1710000901-eng'!$B$12:$B$73, INT((ROW()-2)/6)+1), INDEX('[2]1710000901-eng'!$C$12:$C$73, INT((ROW()-2)/6)+1))</f>
        <v>7661201</v>
      </c>
      <c r="G150">
        <f t="shared" si="31"/>
        <v>88.535596442385469</v>
      </c>
      <c r="H150">
        <v>1</v>
      </c>
      <c r="I150">
        <v>0</v>
      </c>
      <c r="J150">
        <f t="shared" si="32"/>
        <v>0</v>
      </c>
      <c r="K150">
        <f t="shared" si="33"/>
        <v>0</v>
      </c>
      <c r="L150">
        <f t="shared" si="34"/>
        <v>0</v>
      </c>
      <c r="M150">
        <f t="shared" si="35"/>
        <v>1</v>
      </c>
      <c r="N150">
        <f t="shared" si="36"/>
        <v>0</v>
      </c>
      <c r="O150">
        <f t="shared" si="37"/>
        <v>0</v>
      </c>
      <c r="P150">
        <f t="shared" si="38"/>
        <v>0</v>
      </c>
      <c r="Q150">
        <f t="shared" si="39"/>
        <v>0</v>
      </c>
      <c r="R150">
        <f t="shared" si="40"/>
        <v>0</v>
      </c>
      <c r="S150">
        <f t="shared" si="41"/>
        <v>0</v>
      </c>
      <c r="T150">
        <f t="shared" si="42"/>
        <v>0</v>
      </c>
      <c r="U150">
        <f t="shared" si="43"/>
        <v>0</v>
      </c>
      <c r="V150">
        <f t="shared" si="44"/>
        <v>0</v>
      </c>
    </row>
    <row r="151" spans="1:22" x14ac:dyDescent="0.3">
      <c r="A151" t="s">
        <v>22</v>
      </c>
      <c r="B151">
        <v>2007</v>
      </c>
      <c r="C151">
        <v>3</v>
      </c>
      <c r="D151" t="str">
        <f t="shared" si="30"/>
        <v>2007-03</v>
      </c>
      <c r="E151" s="2">
        <f>IF(MOD(ROW()-2,2)=0, INDEX('[1]2310008001-eng'!$B$13:$B$288, (ROW()-2)/2+1), INDEX('[1]2310008001-eng'!$C$13:$C$288, (ROW()-2)/2+1))*1000</f>
        <v>1257311000</v>
      </c>
      <c r="F151" s="2">
        <f>IF(MOD(ROW()-2,2)=0, INDEX('[2]1710000901-eng'!$B$12:$B$73, INT((ROW()-2)/6)+1), INDEX('[2]1710000901-eng'!$C$12:$C$73, INT((ROW()-2)/6)+1))</f>
        <v>12703327</v>
      </c>
      <c r="G151">
        <f t="shared" si="31"/>
        <v>98.97493782534292</v>
      </c>
      <c r="H151">
        <v>0</v>
      </c>
      <c r="I151">
        <v>0</v>
      </c>
      <c r="J151">
        <f t="shared" si="32"/>
        <v>0</v>
      </c>
      <c r="K151">
        <f t="shared" si="33"/>
        <v>0</v>
      </c>
      <c r="L151">
        <f t="shared" si="34"/>
        <v>0</v>
      </c>
      <c r="M151">
        <f t="shared" si="35"/>
        <v>1</v>
      </c>
      <c r="N151">
        <f t="shared" si="36"/>
        <v>0</v>
      </c>
      <c r="O151">
        <f t="shared" si="37"/>
        <v>0</v>
      </c>
      <c r="P151">
        <f t="shared" si="38"/>
        <v>0</v>
      </c>
      <c r="Q151">
        <f t="shared" si="39"/>
        <v>0</v>
      </c>
      <c r="R151">
        <f t="shared" si="40"/>
        <v>0</v>
      </c>
      <c r="S151">
        <f t="shared" si="41"/>
        <v>0</v>
      </c>
      <c r="T151">
        <f t="shared" si="42"/>
        <v>0</v>
      </c>
      <c r="U151">
        <f t="shared" si="43"/>
        <v>0</v>
      </c>
      <c r="V151">
        <f t="shared" si="44"/>
        <v>0</v>
      </c>
    </row>
    <row r="152" spans="1:22" x14ac:dyDescent="0.3">
      <c r="A152" t="s">
        <v>7</v>
      </c>
      <c r="B152">
        <v>2007</v>
      </c>
      <c r="C152">
        <v>4</v>
      </c>
      <c r="D152" t="str">
        <f t="shared" si="30"/>
        <v>2007-04</v>
      </c>
      <c r="E152" s="2">
        <f>IF(MOD(ROW()-2,2)=0, INDEX('[1]2310008001-eng'!$B$13:$B$288, (ROW()-2)/2+1), INDEX('[1]2310008001-eng'!$C$13:$C$288, (ROW()-2)/2+1))*1000</f>
        <v>641821000</v>
      </c>
      <c r="F152" s="2">
        <f>IF(MOD(ROW()-2,2)=0, INDEX('[2]1710000901-eng'!$B$12:$B$73, INT((ROW()-2)/6)+1), INDEX('[2]1710000901-eng'!$C$12:$C$73, INT((ROW()-2)/6)+1))</f>
        <v>7673938</v>
      </c>
      <c r="G152">
        <f t="shared" si="31"/>
        <v>83.63645888199774</v>
      </c>
      <c r="H152">
        <v>1</v>
      </c>
      <c r="I152">
        <v>0</v>
      </c>
      <c r="J152">
        <f t="shared" si="32"/>
        <v>0</v>
      </c>
      <c r="K152">
        <f t="shared" si="33"/>
        <v>0</v>
      </c>
      <c r="L152">
        <f t="shared" si="34"/>
        <v>0</v>
      </c>
      <c r="M152">
        <f t="shared" si="35"/>
        <v>0</v>
      </c>
      <c r="N152">
        <f t="shared" si="36"/>
        <v>1</v>
      </c>
      <c r="O152">
        <f t="shared" si="37"/>
        <v>0</v>
      </c>
      <c r="P152">
        <f t="shared" si="38"/>
        <v>0</v>
      </c>
      <c r="Q152">
        <f t="shared" si="39"/>
        <v>0</v>
      </c>
      <c r="R152">
        <f t="shared" si="40"/>
        <v>0</v>
      </c>
      <c r="S152">
        <f t="shared" si="41"/>
        <v>0</v>
      </c>
      <c r="T152">
        <f t="shared" si="42"/>
        <v>0</v>
      </c>
      <c r="U152">
        <f t="shared" si="43"/>
        <v>0</v>
      </c>
      <c r="V152">
        <f t="shared" si="44"/>
        <v>0</v>
      </c>
    </row>
    <row r="153" spans="1:22" x14ac:dyDescent="0.3">
      <c r="A153" t="s">
        <v>22</v>
      </c>
      <c r="B153">
        <v>2007</v>
      </c>
      <c r="C153">
        <v>4</v>
      </c>
      <c r="D153" t="str">
        <f t="shared" si="30"/>
        <v>2007-04</v>
      </c>
      <c r="E153" s="2">
        <f>IF(MOD(ROW()-2,2)=0, INDEX('[1]2310008001-eng'!$B$13:$B$288, (ROW()-2)/2+1), INDEX('[1]2310008001-eng'!$C$13:$C$288, (ROW()-2)/2+1))*1000</f>
        <v>1237795000</v>
      </c>
      <c r="F153" s="2">
        <f>IF(MOD(ROW()-2,2)=0, INDEX('[2]1710000901-eng'!$B$12:$B$73, INT((ROW()-2)/6)+1), INDEX('[2]1710000901-eng'!$C$12:$C$73, INT((ROW()-2)/6)+1))</f>
        <v>12727090</v>
      </c>
      <c r="G153">
        <f t="shared" si="31"/>
        <v>97.256717757162079</v>
      </c>
      <c r="H153">
        <v>0</v>
      </c>
      <c r="I153">
        <v>0</v>
      </c>
      <c r="J153">
        <f t="shared" si="32"/>
        <v>0</v>
      </c>
      <c r="K153">
        <f t="shared" si="33"/>
        <v>0</v>
      </c>
      <c r="L153">
        <f t="shared" si="34"/>
        <v>0</v>
      </c>
      <c r="M153">
        <f t="shared" si="35"/>
        <v>0</v>
      </c>
      <c r="N153">
        <f t="shared" si="36"/>
        <v>1</v>
      </c>
      <c r="O153">
        <f t="shared" si="37"/>
        <v>0</v>
      </c>
      <c r="P153">
        <f t="shared" si="38"/>
        <v>0</v>
      </c>
      <c r="Q153">
        <f t="shared" si="39"/>
        <v>0</v>
      </c>
      <c r="R153">
        <f t="shared" si="40"/>
        <v>0</v>
      </c>
      <c r="S153">
        <f t="shared" si="41"/>
        <v>0</v>
      </c>
      <c r="T153">
        <f t="shared" si="42"/>
        <v>0</v>
      </c>
      <c r="U153">
        <f t="shared" si="43"/>
        <v>0</v>
      </c>
      <c r="V153">
        <f t="shared" si="44"/>
        <v>0</v>
      </c>
    </row>
    <row r="154" spans="1:22" x14ac:dyDescent="0.3">
      <c r="A154" t="s">
        <v>7</v>
      </c>
      <c r="B154">
        <v>2007</v>
      </c>
      <c r="C154">
        <v>5</v>
      </c>
      <c r="D154" t="str">
        <f t="shared" si="30"/>
        <v>2007-05</v>
      </c>
      <c r="E154" s="2">
        <f>IF(MOD(ROW()-2,2)=0, INDEX('[1]2310008001-eng'!$B$13:$B$288, (ROW()-2)/2+1), INDEX('[1]2310008001-eng'!$C$13:$C$288, (ROW()-2)/2+1))*1000</f>
        <v>730773000</v>
      </c>
      <c r="F154" s="2">
        <f>IF(MOD(ROW()-2,2)=0, INDEX('[2]1710000901-eng'!$B$12:$B$73, INT((ROW()-2)/6)+1), INDEX('[2]1710000901-eng'!$C$12:$C$73, INT((ROW()-2)/6)+1))</f>
        <v>7673938</v>
      </c>
      <c r="G154">
        <f t="shared" si="31"/>
        <v>95.227899938727674</v>
      </c>
      <c r="H154">
        <v>1</v>
      </c>
      <c r="I154">
        <v>0</v>
      </c>
      <c r="J154">
        <f t="shared" si="32"/>
        <v>0</v>
      </c>
      <c r="K154">
        <f t="shared" si="33"/>
        <v>0</v>
      </c>
      <c r="L154">
        <f t="shared" si="34"/>
        <v>0</v>
      </c>
      <c r="M154">
        <f t="shared" si="35"/>
        <v>0</v>
      </c>
      <c r="N154">
        <f t="shared" si="36"/>
        <v>0</v>
      </c>
      <c r="O154">
        <f t="shared" si="37"/>
        <v>1</v>
      </c>
      <c r="P154">
        <f t="shared" si="38"/>
        <v>0</v>
      </c>
      <c r="Q154">
        <f t="shared" si="39"/>
        <v>0</v>
      </c>
      <c r="R154">
        <f t="shared" si="40"/>
        <v>0</v>
      </c>
      <c r="S154">
        <f t="shared" si="41"/>
        <v>0</v>
      </c>
      <c r="T154">
        <f t="shared" si="42"/>
        <v>0</v>
      </c>
      <c r="U154">
        <f t="shared" si="43"/>
        <v>0</v>
      </c>
      <c r="V154">
        <f t="shared" si="44"/>
        <v>0</v>
      </c>
    </row>
    <row r="155" spans="1:22" x14ac:dyDescent="0.3">
      <c r="A155" t="s">
        <v>22</v>
      </c>
      <c r="B155">
        <v>2007</v>
      </c>
      <c r="C155">
        <v>5</v>
      </c>
      <c r="D155" t="str">
        <f t="shared" si="30"/>
        <v>2007-05</v>
      </c>
      <c r="E155" s="2">
        <f>IF(MOD(ROW()-2,2)=0, INDEX('[1]2310008001-eng'!$B$13:$B$288, (ROW()-2)/2+1), INDEX('[1]2310008001-eng'!$C$13:$C$288, (ROW()-2)/2+1))*1000</f>
        <v>1365409000</v>
      </c>
      <c r="F155" s="2">
        <f>IF(MOD(ROW()-2,2)=0, INDEX('[2]1710000901-eng'!$B$12:$B$73, INT((ROW()-2)/6)+1), INDEX('[2]1710000901-eng'!$C$12:$C$73, INT((ROW()-2)/6)+1))</f>
        <v>12727090</v>
      </c>
      <c r="G155">
        <f t="shared" si="31"/>
        <v>107.28367600134831</v>
      </c>
      <c r="H155">
        <v>0</v>
      </c>
      <c r="I155">
        <v>0</v>
      </c>
      <c r="J155">
        <f t="shared" si="32"/>
        <v>0</v>
      </c>
      <c r="K155">
        <f t="shared" si="33"/>
        <v>0</v>
      </c>
      <c r="L155">
        <f t="shared" si="34"/>
        <v>0</v>
      </c>
      <c r="M155">
        <f t="shared" si="35"/>
        <v>0</v>
      </c>
      <c r="N155">
        <f t="shared" si="36"/>
        <v>0</v>
      </c>
      <c r="O155">
        <f t="shared" si="37"/>
        <v>1</v>
      </c>
      <c r="P155">
        <f t="shared" si="38"/>
        <v>0</v>
      </c>
      <c r="Q155">
        <f t="shared" si="39"/>
        <v>0</v>
      </c>
      <c r="R155">
        <f t="shared" si="40"/>
        <v>0</v>
      </c>
      <c r="S155">
        <f t="shared" si="41"/>
        <v>0</v>
      </c>
      <c r="T155">
        <f t="shared" si="42"/>
        <v>0</v>
      </c>
      <c r="U155">
        <f t="shared" si="43"/>
        <v>0</v>
      </c>
      <c r="V155">
        <f t="shared" si="44"/>
        <v>0</v>
      </c>
    </row>
    <row r="156" spans="1:22" x14ac:dyDescent="0.3">
      <c r="A156" t="s">
        <v>7</v>
      </c>
      <c r="B156">
        <v>2007</v>
      </c>
      <c r="C156">
        <v>6</v>
      </c>
      <c r="D156" t="str">
        <f t="shared" si="30"/>
        <v>2007-06</v>
      </c>
      <c r="E156" s="2">
        <f>IF(MOD(ROW()-2,2)=0, INDEX('[1]2310008001-eng'!$B$13:$B$288, (ROW()-2)/2+1), INDEX('[1]2310008001-eng'!$C$13:$C$288, (ROW()-2)/2+1))*1000</f>
        <v>723389000</v>
      </c>
      <c r="F156" s="2">
        <f>IF(MOD(ROW()-2,2)=0, INDEX('[2]1710000901-eng'!$B$12:$B$73, INT((ROW()-2)/6)+1), INDEX('[2]1710000901-eng'!$C$12:$C$73, INT((ROW()-2)/6)+1))</f>
        <v>7673938</v>
      </c>
      <c r="G156">
        <f t="shared" si="31"/>
        <v>94.265682104807212</v>
      </c>
      <c r="H156">
        <v>1</v>
      </c>
      <c r="I156">
        <v>0</v>
      </c>
      <c r="J156">
        <f t="shared" si="32"/>
        <v>0</v>
      </c>
      <c r="K156">
        <f t="shared" si="33"/>
        <v>0</v>
      </c>
      <c r="L156">
        <f t="shared" si="34"/>
        <v>0</v>
      </c>
      <c r="M156">
        <f t="shared" si="35"/>
        <v>0</v>
      </c>
      <c r="N156">
        <f t="shared" si="36"/>
        <v>0</v>
      </c>
      <c r="O156">
        <f t="shared" si="37"/>
        <v>0</v>
      </c>
      <c r="P156">
        <f t="shared" si="38"/>
        <v>1</v>
      </c>
      <c r="Q156">
        <f t="shared" si="39"/>
        <v>0</v>
      </c>
      <c r="R156">
        <f t="shared" si="40"/>
        <v>0</v>
      </c>
      <c r="S156">
        <f t="shared" si="41"/>
        <v>0</v>
      </c>
      <c r="T156">
        <f t="shared" si="42"/>
        <v>0</v>
      </c>
      <c r="U156">
        <f t="shared" si="43"/>
        <v>0</v>
      </c>
      <c r="V156">
        <f t="shared" si="44"/>
        <v>0</v>
      </c>
    </row>
    <row r="157" spans="1:22" x14ac:dyDescent="0.3">
      <c r="A157" t="s">
        <v>22</v>
      </c>
      <c r="B157">
        <v>2007</v>
      </c>
      <c r="C157">
        <v>6</v>
      </c>
      <c r="D157" t="str">
        <f t="shared" si="30"/>
        <v>2007-06</v>
      </c>
      <c r="E157" s="2">
        <f>IF(MOD(ROW()-2,2)=0, INDEX('[1]2310008001-eng'!$B$13:$B$288, (ROW()-2)/2+1), INDEX('[1]2310008001-eng'!$C$13:$C$288, (ROW()-2)/2+1))*1000</f>
        <v>1366786000</v>
      </c>
      <c r="F157" s="2">
        <f>IF(MOD(ROW()-2,2)=0, INDEX('[2]1710000901-eng'!$B$12:$B$73, INT((ROW()-2)/6)+1), INDEX('[2]1710000901-eng'!$C$12:$C$73, INT((ROW()-2)/6)+1))</f>
        <v>12727090</v>
      </c>
      <c r="G157">
        <f t="shared" si="31"/>
        <v>107.39187041185377</v>
      </c>
      <c r="H157">
        <v>0</v>
      </c>
      <c r="I157">
        <v>0</v>
      </c>
      <c r="J157">
        <f t="shared" si="32"/>
        <v>0</v>
      </c>
      <c r="K157">
        <f t="shared" si="33"/>
        <v>0</v>
      </c>
      <c r="L157">
        <f t="shared" si="34"/>
        <v>0</v>
      </c>
      <c r="M157">
        <f t="shared" si="35"/>
        <v>0</v>
      </c>
      <c r="N157">
        <f t="shared" si="36"/>
        <v>0</v>
      </c>
      <c r="O157">
        <f t="shared" si="37"/>
        <v>0</v>
      </c>
      <c r="P157">
        <f t="shared" si="38"/>
        <v>1</v>
      </c>
      <c r="Q157">
        <f t="shared" si="39"/>
        <v>0</v>
      </c>
      <c r="R157">
        <f t="shared" si="40"/>
        <v>0</v>
      </c>
      <c r="S157">
        <f t="shared" si="41"/>
        <v>0</v>
      </c>
      <c r="T157">
        <f t="shared" si="42"/>
        <v>0</v>
      </c>
      <c r="U157">
        <f t="shared" si="43"/>
        <v>0</v>
      </c>
      <c r="V157">
        <f t="shared" si="44"/>
        <v>0</v>
      </c>
    </row>
    <row r="158" spans="1:22" x14ac:dyDescent="0.3">
      <c r="A158" t="s">
        <v>7</v>
      </c>
      <c r="B158">
        <v>2007</v>
      </c>
      <c r="C158">
        <v>7</v>
      </c>
      <c r="D158" t="str">
        <f t="shared" si="30"/>
        <v>2007-07</v>
      </c>
      <c r="E158" s="2">
        <f>IF(MOD(ROW()-2,2)=0, INDEX('[1]2310008001-eng'!$B$13:$B$288, (ROW()-2)/2+1), INDEX('[1]2310008001-eng'!$C$13:$C$288, (ROW()-2)/2+1))*1000</f>
        <v>719615000</v>
      </c>
      <c r="F158" s="2">
        <f>IF(MOD(ROW()-2,2)=0, INDEX('[2]1710000901-eng'!$B$12:$B$73, INT((ROW()-2)/6)+1), INDEX('[2]1710000901-eng'!$C$12:$C$73, INT((ROW()-2)/6)+1))</f>
        <v>7692400</v>
      </c>
      <c r="G158">
        <f t="shared" si="31"/>
        <v>93.548827414071027</v>
      </c>
      <c r="H158">
        <v>1</v>
      </c>
      <c r="I158">
        <v>0</v>
      </c>
      <c r="J158">
        <f t="shared" si="32"/>
        <v>0</v>
      </c>
      <c r="K158">
        <f t="shared" si="33"/>
        <v>0</v>
      </c>
      <c r="L158">
        <f t="shared" si="34"/>
        <v>0</v>
      </c>
      <c r="M158">
        <f t="shared" si="35"/>
        <v>0</v>
      </c>
      <c r="N158">
        <f t="shared" si="36"/>
        <v>0</v>
      </c>
      <c r="O158">
        <f t="shared" si="37"/>
        <v>0</v>
      </c>
      <c r="P158">
        <f t="shared" si="38"/>
        <v>0</v>
      </c>
      <c r="Q158">
        <f t="shared" si="39"/>
        <v>1</v>
      </c>
      <c r="R158">
        <f t="shared" si="40"/>
        <v>0</v>
      </c>
      <c r="S158">
        <f t="shared" si="41"/>
        <v>0</v>
      </c>
      <c r="T158">
        <f t="shared" si="42"/>
        <v>0</v>
      </c>
      <c r="U158">
        <f t="shared" si="43"/>
        <v>0</v>
      </c>
      <c r="V158">
        <f t="shared" si="44"/>
        <v>0</v>
      </c>
    </row>
    <row r="159" spans="1:22" x14ac:dyDescent="0.3">
      <c r="A159" t="s">
        <v>22</v>
      </c>
      <c r="B159">
        <v>2007</v>
      </c>
      <c r="C159">
        <v>7</v>
      </c>
      <c r="D159" t="str">
        <f t="shared" si="30"/>
        <v>2007-07</v>
      </c>
      <c r="E159" s="2">
        <f>IF(MOD(ROW()-2,2)=0, INDEX('[1]2310008001-eng'!$B$13:$B$288, (ROW()-2)/2+1), INDEX('[1]2310008001-eng'!$C$13:$C$288, (ROW()-2)/2+1))*1000</f>
        <v>1383305000</v>
      </c>
      <c r="F159" s="2">
        <f>IF(MOD(ROW()-2,2)=0, INDEX('[2]1710000901-eng'!$B$12:$B$73, INT((ROW()-2)/6)+1), INDEX('[2]1710000901-eng'!$C$12:$C$73, INT((ROW()-2)/6)+1))</f>
        <v>12765133</v>
      </c>
      <c r="G159">
        <f t="shared" si="31"/>
        <v>108.36589011646021</v>
      </c>
      <c r="H159">
        <v>0</v>
      </c>
      <c r="I159">
        <v>0</v>
      </c>
      <c r="J159">
        <f t="shared" si="32"/>
        <v>0</v>
      </c>
      <c r="K159">
        <f t="shared" si="33"/>
        <v>0</v>
      </c>
      <c r="L159">
        <f t="shared" si="34"/>
        <v>0</v>
      </c>
      <c r="M159">
        <f t="shared" si="35"/>
        <v>0</v>
      </c>
      <c r="N159">
        <f t="shared" si="36"/>
        <v>0</v>
      </c>
      <c r="O159">
        <f t="shared" si="37"/>
        <v>0</v>
      </c>
      <c r="P159">
        <f t="shared" si="38"/>
        <v>0</v>
      </c>
      <c r="Q159">
        <f t="shared" si="39"/>
        <v>1</v>
      </c>
      <c r="R159">
        <f t="shared" si="40"/>
        <v>0</v>
      </c>
      <c r="S159">
        <f t="shared" si="41"/>
        <v>0</v>
      </c>
      <c r="T159">
        <f t="shared" si="42"/>
        <v>0</v>
      </c>
      <c r="U159">
        <f t="shared" si="43"/>
        <v>0</v>
      </c>
      <c r="V159">
        <f t="shared" si="44"/>
        <v>0</v>
      </c>
    </row>
    <row r="160" spans="1:22" x14ac:dyDescent="0.3">
      <c r="A160" t="s">
        <v>7</v>
      </c>
      <c r="B160">
        <v>2007</v>
      </c>
      <c r="C160">
        <v>8</v>
      </c>
      <c r="D160" t="str">
        <f t="shared" si="30"/>
        <v>2007-08</v>
      </c>
      <c r="E160" s="2">
        <f>IF(MOD(ROW()-2,2)=0, INDEX('[1]2310008001-eng'!$B$13:$B$288, (ROW()-2)/2+1), INDEX('[1]2310008001-eng'!$C$13:$C$288, (ROW()-2)/2+1))*1000</f>
        <v>767499000</v>
      </c>
      <c r="F160" s="2">
        <f>IF(MOD(ROW()-2,2)=0, INDEX('[2]1710000901-eng'!$B$12:$B$73, INT((ROW()-2)/6)+1), INDEX('[2]1710000901-eng'!$C$12:$C$73, INT((ROW()-2)/6)+1))</f>
        <v>7692400</v>
      </c>
      <c r="G160">
        <f t="shared" si="31"/>
        <v>99.773672715927404</v>
      </c>
      <c r="H160">
        <v>1</v>
      </c>
      <c r="I160">
        <v>0</v>
      </c>
      <c r="J160">
        <f t="shared" si="32"/>
        <v>0</v>
      </c>
      <c r="K160">
        <f t="shared" si="33"/>
        <v>0</v>
      </c>
      <c r="L160">
        <f t="shared" si="34"/>
        <v>0</v>
      </c>
      <c r="M160">
        <f t="shared" si="35"/>
        <v>0</v>
      </c>
      <c r="N160">
        <f t="shared" si="36"/>
        <v>0</v>
      </c>
      <c r="O160">
        <f t="shared" si="37"/>
        <v>0</v>
      </c>
      <c r="P160">
        <f t="shared" si="38"/>
        <v>0</v>
      </c>
      <c r="Q160">
        <f t="shared" si="39"/>
        <v>0</v>
      </c>
      <c r="R160">
        <f t="shared" si="40"/>
        <v>1</v>
      </c>
      <c r="S160">
        <f t="shared" si="41"/>
        <v>0</v>
      </c>
      <c r="T160">
        <f t="shared" si="42"/>
        <v>0</v>
      </c>
      <c r="U160">
        <f t="shared" si="43"/>
        <v>0</v>
      </c>
      <c r="V160">
        <f t="shared" si="44"/>
        <v>0</v>
      </c>
    </row>
    <row r="161" spans="1:22" x14ac:dyDescent="0.3">
      <c r="A161" t="s">
        <v>22</v>
      </c>
      <c r="B161">
        <v>2007</v>
      </c>
      <c r="C161">
        <v>8</v>
      </c>
      <c r="D161" t="str">
        <f t="shared" si="30"/>
        <v>2007-08</v>
      </c>
      <c r="E161" s="2">
        <f>IF(MOD(ROW()-2,2)=0, INDEX('[1]2310008001-eng'!$B$13:$B$288, (ROW()-2)/2+1), INDEX('[1]2310008001-eng'!$C$13:$C$288, (ROW()-2)/2+1))*1000</f>
        <v>1406949000</v>
      </c>
      <c r="F161" s="2">
        <f>IF(MOD(ROW()-2,2)=0, INDEX('[2]1710000901-eng'!$B$12:$B$73, INT((ROW()-2)/6)+1), INDEX('[2]1710000901-eng'!$C$12:$C$73, INT((ROW()-2)/6)+1))</f>
        <v>12765133</v>
      </c>
      <c r="G161">
        <f t="shared" si="31"/>
        <v>110.21812307008474</v>
      </c>
      <c r="H161">
        <v>0</v>
      </c>
      <c r="I161">
        <v>0</v>
      </c>
      <c r="J161">
        <f t="shared" si="32"/>
        <v>0</v>
      </c>
      <c r="K161">
        <f t="shared" si="33"/>
        <v>0</v>
      </c>
      <c r="L161">
        <f t="shared" si="34"/>
        <v>0</v>
      </c>
      <c r="M161">
        <f t="shared" si="35"/>
        <v>0</v>
      </c>
      <c r="N161">
        <f t="shared" si="36"/>
        <v>0</v>
      </c>
      <c r="O161">
        <f t="shared" si="37"/>
        <v>0</v>
      </c>
      <c r="P161">
        <f t="shared" si="38"/>
        <v>0</v>
      </c>
      <c r="Q161">
        <f t="shared" si="39"/>
        <v>0</v>
      </c>
      <c r="R161">
        <f t="shared" si="40"/>
        <v>1</v>
      </c>
      <c r="S161">
        <f t="shared" si="41"/>
        <v>0</v>
      </c>
      <c r="T161">
        <f t="shared" si="42"/>
        <v>0</v>
      </c>
      <c r="U161">
        <f t="shared" si="43"/>
        <v>0</v>
      </c>
      <c r="V161">
        <f t="shared" si="44"/>
        <v>0</v>
      </c>
    </row>
    <row r="162" spans="1:22" x14ac:dyDescent="0.3">
      <c r="A162" t="s">
        <v>7</v>
      </c>
      <c r="B162">
        <v>2007</v>
      </c>
      <c r="C162">
        <v>9</v>
      </c>
      <c r="D162" t="str">
        <f t="shared" si="30"/>
        <v>2007-09</v>
      </c>
      <c r="E162" s="2">
        <f>IF(MOD(ROW()-2,2)=0, INDEX('[1]2310008001-eng'!$B$13:$B$288, (ROW()-2)/2+1), INDEX('[1]2310008001-eng'!$C$13:$C$288, (ROW()-2)/2+1))*1000</f>
        <v>683980000</v>
      </c>
      <c r="F162" s="2">
        <f>IF(MOD(ROW()-2,2)=0, INDEX('[2]1710000901-eng'!$B$12:$B$73, INT((ROW()-2)/6)+1), INDEX('[2]1710000901-eng'!$C$12:$C$73, INT((ROW()-2)/6)+1))</f>
        <v>7692400</v>
      </c>
      <c r="G162">
        <f t="shared" si="31"/>
        <v>88.916333004003945</v>
      </c>
      <c r="H162">
        <v>1</v>
      </c>
      <c r="I162">
        <v>0</v>
      </c>
      <c r="J162">
        <f t="shared" si="32"/>
        <v>0</v>
      </c>
      <c r="K162">
        <f t="shared" si="33"/>
        <v>0</v>
      </c>
      <c r="L162">
        <f t="shared" si="34"/>
        <v>0</v>
      </c>
      <c r="M162">
        <f t="shared" si="35"/>
        <v>0</v>
      </c>
      <c r="N162">
        <f t="shared" si="36"/>
        <v>0</v>
      </c>
      <c r="O162">
        <f t="shared" si="37"/>
        <v>0</v>
      </c>
      <c r="P162">
        <f t="shared" si="38"/>
        <v>0</v>
      </c>
      <c r="Q162">
        <f t="shared" si="39"/>
        <v>0</v>
      </c>
      <c r="R162">
        <f t="shared" si="40"/>
        <v>0</v>
      </c>
      <c r="S162">
        <f t="shared" si="41"/>
        <v>1</v>
      </c>
      <c r="T162">
        <f t="shared" si="42"/>
        <v>0</v>
      </c>
      <c r="U162">
        <f t="shared" si="43"/>
        <v>0</v>
      </c>
      <c r="V162">
        <f t="shared" si="44"/>
        <v>0</v>
      </c>
    </row>
    <row r="163" spans="1:22" x14ac:dyDescent="0.3">
      <c r="A163" t="s">
        <v>22</v>
      </c>
      <c r="B163">
        <v>2007</v>
      </c>
      <c r="C163">
        <v>9</v>
      </c>
      <c r="D163" t="str">
        <f t="shared" si="30"/>
        <v>2007-09</v>
      </c>
      <c r="E163" s="2">
        <f>IF(MOD(ROW()-2,2)=0, INDEX('[1]2310008001-eng'!$B$13:$B$288, (ROW()-2)/2+1), INDEX('[1]2310008001-eng'!$C$13:$C$288, (ROW()-2)/2+1))*1000</f>
        <v>1283905000</v>
      </c>
      <c r="F163" s="2">
        <f>IF(MOD(ROW()-2,2)=0, INDEX('[2]1710000901-eng'!$B$12:$B$73, INT((ROW()-2)/6)+1), INDEX('[2]1710000901-eng'!$C$12:$C$73, INT((ROW()-2)/6)+1))</f>
        <v>12765133</v>
      </c>
      <c r="G163">
        <f t="shared" si="31"/>
        <v>100.57905389626571</v>
      </c>
      <c r="H163">
        <v>0</v>
      </c>
      <c r="I163">
        <v>0</v>
      </c>
      <c r="J163">
        <f t="shared" si="32"/>
        <v>0</v>
      </c>
      <c r="K163">
        <f t="shared" si="33"/>
        <v>0</v>
      </c>
      <c r="L163">
        <f t="shared" si="34"/>
        <v>0</v>
      </c>
      <c r="M163">
        <f t="shared" si="35"/>
        <v>0</v>
      </c>
      <c r="N163">
        <f t="shared" si="36"/>
        <v>0</v>
      </c>
      <c r="O163">
        <f t="shared" si="37"/>
        <v>0</v>
      </c>
      <c r="P163">
        <f t="shared" si="38"/>
        <v>0</v>
      </c>
      <c r="Q163">
        <f t="shared" si="39"/>
        <v>0</v>
      </c>
      <c r="R163">
        <f t="shared" si="40"/>
        <v>0</v>
      </c>
      <c r="S163">
        <f t="shared" si="41"/>
        <v>1</v>
      </c>
      <c r="T163">
        <f t="shared" si="42"/>
        <v>0</v>
      </c>
      <c r="U163">
        <f t="shared" si="43"/>
        <v>0</v>
      </c>
      <c r="V163">
        <f t="shared" si="44"/>
        <v>0</v>
      </c>
    </row>
    <row r="164" spans="1:22" x14ac:dyDescent="0.3">
      <c r="A164" t="s">
        <v>7</v>
      </c>
      <c r="B164">
        <v>2007</v>
      </c>
      <c r="C164">
        <v>10</v>
      </c>
      <c r="D164" t="str">
        <f t="shared" si="30"/>
        <v>2007-10</v>
      </c>
      <c r="E164" s="2">
        <f>IF(MOD(ROW()-2,2)=0, INDEX('[1]2310008001-eng'!$B$13:$B$288, (ROW()-2)/2+1), INDEX('[1]2310008001-eng'!$C$13:$C$288, (ROW()-2)/2+1))*1000</f>
        <v>701418000</v>
      </c>
      <c r="F164" s="2">
        <f>IF(MOD(ROW()-2,2)=0, INDEX('[2]1710000901-eng'!$B$12:$B$73, INT((ROW()-2)/6)+1), INDEX('[2]1710000901-eng'!$C$12:$C$73, INT((ROW()-2)/6)+1))</f>
        <v>7712616</v>
      </c>
      <c r="G164">
        <f t="shared" si="31"/>
        <v>90.944239931042858</v>
      </c>
      <c r="H164">
        <v>1</v>
      </c>
      <c r="I164">
        <v>1</v>
      </c>
      <c r="J164">
        <f t="shared" si="32"/>
        <v>1</v>
      </c>
      <c r="K164">
        <f t="shared" si="33"/>
        <v>0</v>
      </c>
      <c r="L164">
        <f t="shared" si="34"/>
        <v>0</v>
      </c>
      <c r="M164">
        <f t="shared" si="35"/>
        <v>0</v>
      </c>
      <c r="N164">
        <f t="shared" si="36"/>
        <v>0</v>
      </c>
      <c r="O164">
        <f t="shared" si="37"/>
        <v>0</v>
      </c>
      <c r="P164">
        <f t="shared" si="38"/>
        <v>0</v>
      </c>
      <c r="Q164">
        <f t="shared" si="39"/>
        <v>0</v>
      </c>
      <c r="R164">
        <f t="shared" si="40"/>
        <v>0</v>
      </c>
      <c r="S164">
        <f t="shared" si="41"/>
        <v>0</v>
      </c>
      <c r="T164">
        <f t="shared" si="42"/>
        <v>1</v>
      </c>
      <c r="U164">
        <f t="shared" si="43"/>
        <v>0</v>
      </c>
      <c r="V164">
        <f t="shared" si="44"/>
        <v>0</v>
      </c>
    </row>
    <row r="165" spans="1:22" x14ac:dyDescent="0.3">
      <c r="A165" t="s">
        <v>22</v>
      </c>
      <c r="B165">
        <v>2007</v>
      </c>
      <c r="C165">
        <v>10</v>
      </c>
      <c r="D165" t="str">
        <f t="shared" si="30"/>
        <v>2007-10</v>
      </c>
      <c r="E165" s="2">
        <f>IF(MOD(ROW()-2,2)=0, INDEX('[1]2310008001-eng'!$B$13:$B$288, (ROW()-2)/2+1), INDEX('[1]2310008001-eng'!$C$13:$C$288, (ROW()-2)/2+1))*1000</f>
        <v>1342082000</v>
      </c>
      <c r="F165" s="2">
        <f>IF(MOD(ROW()-2,2)=0, INDEX('[2]1710000901-eng'!$B$12:$B$73, INT((ROW()-2)/6)+1), INDEX('[2]1710000901-eng'!$C$12:$C$73, INT((ROW()-2)/6)+1))</f>
        <v>12807497</v>
      </c>
      <c r="G165">
        <f t="shared" si="31"/>
        <v>104.78878113342522</v>
      </c>
      <c r="H165">
        <v>0</v>
      </c>
      <c r="I165">
        <v>1</v>
      </c>
      <c r="J165">
        <f>IF(AND(H165=1, I165=1), 1, 0)</f>
        <v>0</v>
      </c>
      <c r="K165">
        <f t="shared" si="33"/>
        <v>0</v>
      </c>
      <c r="L165">
        <f t="shared" si="34"/>
        <v>0</v>
      </c>
      <c r="M165">
        <f t="shared" si="35"/>
        <v>0</v>
      </c>
      <c r="N165">
        <f t="shared" si="36"/>
        <v>0</v>
      </c>
      <c r="O165">
        <f t="shared" si="37"/>
        <v>0</v>
      </c>
      <c r="P165">
        <f t="shared" si="38"/>
        <v>0</v>
      </c>
      <c r="Q165">
        <f t="shared" si="39"/>
        <v>0</v>
      </c>
      <c r="R165">
        <f t="shared" si="40"/>
        <v>0</v>
      </c>
      <c r="S165">
        <f t="shared" si="41"/>
        <v>0</v>
      </c>
      <c r="T165">
        <f t="shared" si="42"/>
        <v>1</v>
      </c>
      <c r="U165">
        <f t="shared" si="43"/>
        <v>0</v>
      </c>
      <c r="V165">
        <f t="shared" si="44"/>
        <v>0</v>
      </c>
    </row>
    <row r="166" spans="1:22" x14ac:dyDescent="0.3">
      <c r="A166" t="s">
        <v>7</v>
      </c>
      <c r="B166">
        <v>2007</v>
      </c>
      <c r="C166">
        <v>11</v>
      </c>
      <c r="D166" t="str">
        <f t="shared" si="30"/>
        <v>2007-11</v>
      </c>
      <c r="E166" s="2">
        <f>IF(MOD(ROW()-2,2)=0, INDEX('[1]2310008001-eng'!$B$13:$B$288, (ROW()-2)/2+1), INDEX('[1]2310008001-eng'!$C$13:$C$288, (ROW()-2)/2+1))*1000</f>
        <v>701665000</v>
      </c>
      <c r="F166" s="2">
        <f>IF(MOD(ROW()-2,2)=0, INDEX('[2]1710000901-eng'!$B$12:$B$73, INT((ROW()-2)/6)+1), INDEX('[2]1710000901-eng'!$C$12:$C$73, INT((ROW()-2)/6)+1))</f>
        <v>7712616</v>
      </c>
      <c r="G166">
        <f t="shared" si="31"/>
        <v>90.976265381292151</v>
      </c>
      <c r="H166">
        <v>1</v>
      </c>
      <c r="I166">
        <v>1</v>
      </c>
      <c r="J166">
        <f t="shared" ref="J166:J173" si="45">IF(AND(H166=1, I166=1), 1, 0)</f>
        <v>1</v>
      </c>
      <c r="K166">
        <f t="shared" si="33"/>
        <v>0</v>
      </c>
      <c r="L166">
        <f t="shared" si="34"/>
        <v>0</v>
      </c>
      <c r="M166">
        <f t="shared" si="35"/>
        <v>0</v>
      </c>
      <c r="N166">
        <f t="shared" si="36"/>
        <v>0</v>
      </c>
      <c r="O166">
        <f t="shared" si="37"/>
        <v>0</v>
      </c>
      <c r="P166">
        <f t="shared" si="38"/>
        <v>0</v>
      </c>
      <c r="Q166">
        <f t="shared" si="39"/>
        <v>0</v>
      </c>
      <c r="R166">
        <f t="shared" si="40"/>
        <v>0</v>
      </c>
      <c r="S166">
        <f t="shared" si="41"/>
        <v>0</v>
      </c>
      <c r="T166">
        <f t="shared" si="42"/>
        <v>0</v>
      </c>
      <c r="U166">
        <f t="shared" si="43"/>
        <v>1</v>
      </c>
      <c r="V166">
        <f t="shared" si="44"/>
        <v>0</v>
      </c>
    </row>
    <row r="167" spans="1:22" x14ac:dyDescent="0.3">
      <c r="A167" t="s">
        <v>22</v>
      </c>
      <c r="B167">
        <v>2007</v>
      </c>
      <c r="C167">
        <v>11</v>
      </c>
      <c r="D167" t="str">
        <f t="shared" si="30"/>
        <v>2007-11</v>
      </c>
      <c r="E167" s="2">
        <f>IF(MOD(ROW()-2,2)=0, INDEX('[1]2310008001-eng'!$B$13:$B$288, (ROW()-2)/2+1), INDEX('[1]2310008001-eng'!$C$13:$C$288, (ROW()-2)/2+1))*1000</f>
        <v>1308255000</v>
      </c>
      <c r="F167" s="2">
        <f>IF(MOD(ROW()-2,2)=0, INDEX('[2]1710000901-eng'!$B$12:$B$73, INT((ROW()-2)/6)+1), INDEX('[2]1710000901-eng'!$C$12:$C$73, INT((ROW()-2)/6)+1))</f>
        <v>12807497</v>
      </c>
      <c r="G167">
        <f t="shared" si="31"/>
        <v>102.14759371015273</v>
      </c>
      <c r="H167">
        <v>0</v>
      </c>
      <c r="I167">
        <v>1</v>
      </c>
      <c r="J167">
        <f t="shared" si="45"/>
        <v>0</v>
      </c>
      <c r="K167">
        <f t="shared" si="33"/>
        <v>0</v>
      </c>
      <c r="L167">
        <f t="shared" si="34"/>
        <v>0</v>
      </c>
      <c r="M167">
        <f t="shared" si="35"/>
        <v>0</v>
      </c>
      <c r="N167">
        <f t="shared" si="36"/>
        <v>0</v>
      </c>
      <c r="O167">
        <f t="shared" si="37"/>
        <v>0</v>
      </c>
      <c r="P167">
        <f t="shared" si="38"/>
        <v>0</v>
      </c>
      <c r="Q167">
        <f t="shared" si="39"/>
        <v>0</v>
      </c>
      <c r="R167">
        <f t="shared" si="40"/>
        <v>0</v>
      </c>
      <c r="S167">
        <f t="shared" si="41"/>
        <v>0</v>
      </c>
      <c r="T167">
        <f t="shared" si="42"/>
        <v>0</v>
      </c>
      <c r="U167">
        <f t="shared" si="43"/>
        <v>1</v>
      </c>
      <c r="V167">
        <f t="shared" si="44"/>
        <v>0</v>
      </c>
    </row>
    <row r="168" spans="1:22" x14ac:dyDescent="0.3">
      <c r="A168" t="s">
        <v>7</v>
      </c>
      <c r="B168">
        <v>2007</v>
      </c>
      <c r="C168">
        <v>12</v>
      </c>
      <c r="D168" t="str">
        <f t="shared" si="30"/>
        <v>2007-12</v>
      </c>
      <c r="E168" s="2">
        <f>IF(MOD(ROW()-2,2)=0, INDEX('[1]2310008001-eng'!$B$13:$B$288, (ROW()-2)/2+1), INDEX('[1]2310008001-eng'!$C$13:$C$288, (ROW()-2)/2+1))*1000</f>
        <v>696066000</v>
      </c>
      <c r="F168" s="2">
        <f>IF(MOD(ROW()-2,2)=0, INDEX('[2]1710000901-eng'!$B$12:$B$73, INT((ROW()-2)/6)+1), INDEX('[2]1710000901-eng'!$C$12:$C$73, INT((ROW()-2)/6)+1))</f>
        <v>7712616</v>
      </c>
      <c r="G168">
        <f t="shared" si="31"/>
        <v>90.250311956410115</v>
      </c>
      <c r="H168">
        <v>1</v>
      </c>
      <c r="I168">
        <v>1</v>
      </c>
      <c r="J168">
        <f t="shared" si="45"/>
        <v>1</v>
      </c>
      <c r="K168">
        <f t="shared" si="33"/>
        <v>0</v>
      </c>
      <c r="L168">
        <f t="shared" si="34"/>
        <v>0</v>
      </c>
      <c r="M168">
        <f t="shared" si="35"/>
        <v>0</v>
      </c>
      <c r="N168">
        <f t="shared" si="36"/>
        <v>0</v>
      </c>
      <c r="O168">
        <f t="shared" si="37"/>
        <v>0</v>
      </c>
      <c r="P168">
        <f t="shared" si="38"/>
        <v>0</v>
      </c>
      <c r="Q168">
        <f t="shared" si="39"/>
        <v>0</v>
      </c>
      <c r="R168">
        <f t="shared" si="40"/>
        <v>0</v>
      </c>
      <c r="S168">
        <f t="shared" si="41"/>
        <v>0</v>
      </c>
      <c r="T168">
        <f t="shared" si="42"/>
        <v>0</v>
      </c>
      <c r="U168">
        <f t="shared" si="43"/>
        <v>0</v>
      </c>
      <c r="V168">
        <f t="shared" si="44"/>
        <v>1</v>
      </c>
    </row>
    <row r="169" spans="1:22" x14ac:dyDescent="0.3">
      <c r="A169" t="s">
        <v>22</v>
      </c>
      <c r="B169">
        <v>2007</v>
      </c>
      <c r="C169">
        <v>12</v>
      </c>
      <c r="D169" t="str">
        <f t="shared" si="30"/>
        <v>2007-12</v>
      </c>
      <c r="E169" s="2">
        <f>IF(MOD(ROW()-2,2)=0, INDEX('[1]2310008001-eng'!$B$13:$B$288, (ROW()-2)/2+1), INDEX('[1]2310008001-eng'!$C$13:$C$288, (ROW()-2)/2+1))*1000</f>
        <v>1303212000</v>
      </c>
      <c r="F169" s="2">
        <f>IF(MOD(ROW()-2,2)=0, INDEX('[2]1710000901-eng'!$B$12:$B$73, INT((ROW()-2)/6)+1), INDEX('[2]1710000901-eng'!$C$12:$C$73, INT((ROW()-2)/6)+1))</f>
        <v>12807497</v>
      </c>
      <c r="G169">
        <f t="shared" si="31"/>
        <v>101.75383995795588</v>
      </c>
      <c r="H169">
        <v>0</v>
      </c>
      <c r="I169">
        <v>1</v>
      </c>
      <c r="J169">
        <f t="shared" si="45"/>
        <v>0</v>
      </c>
      <c r="K169">
        <f t="shared" si="33"/>
        <v>0</v>
      </c>
      <c r="L169">
        <f t="shared" si="34"/>
        <v>0</v>
      </c>
      <c r="M169">
        <f t="shared" si="35"/>
        <v>0</v>
      </c>
      <c r="N169">
        <f t="shared" si="36"/>
        <v>0</v>
      </c>
      <c r="O169">
        <f t="shared" si="37"/>
        <v>0</v>
      </c>
      <c r="P169">
        <f t="shared" si="38"/>
        <v>0</v>
      </c>
      <c r="Q169">
        <f t="shared" si="39"/>
        <v>0</v>
      </c>
      <c r="R169">
        <f t="shared" si="40"/>
        <v>0</v>
      </c>
      <c r="S169">
        <f t="shared" si="41"/>
        <v>0</v>
      </c>
      <c r="T169">
        <f t="shared" si="42"/>
        <v>0</v>
      </c>
      <c r="U169">
        <f t="shared" si="43"/>
        <v>0</v>
      </c>
      <c r="V169">
        <f t="shared" si="44"/>
        <v>1</v>
      </c>
    </row>
    <row r="170" spans="1:22" x14ac:dyDescent="0.3">
      <c r="A170" t="s">
        <v>7</v>
      </c>
      <c r="B170">
        <v>2008</v>
      </c>
      <c r="C170">
        <v>1</v>
      </c>
      <c r="D170" t="str">
        <f t="shared" si="30"/>
        <v>2008-01</v>
      </c>
      <c r="E170" s="2">
        <f>IF(MOD(ROW()-2,2)=0, INDEX('[1]2310008001-eng'!$B$13:$B$288, (ROW()-2)/2+1), INDEX('[1]2310008001-eng'!$C$13:$C$288, (ROW()-2)/2+1))*1000</f>
        <v>687801000</v>
      </c>
      <c r="F170" s="2">
        <f>IF(MOD(ROW()-2,2)=0, INDEX('[2]1710000901-eng'!$B$12:$B$73, INT((ROW()-2)/6)+1), INDEX('[2]1710000901-eng'!$C$12:$C$73, INT((ROW()-2)/6)+1))</f>
        <v>7724885</v>
      </c>
      <c r="G170">
        <f t="shared" si="31"/>
        <v>89.037053626041029</v>
      </c>
      <c r="H170">
        <v>1</v>
      </c>
      <c r="I170">
        <v>1</v>
      </c>
      <c r="J170">
        <f t="shared" si="45"/>
        <v>1</v>
      </c>
      <c r="K170">
        <f t="shared" si="33"/>
        <v>1</v>
      </c>
      <c r="L170">
        <f t="shared" si="34"/>
        <v>0</v>
      </c>
      <c r="M170">
        <f t="shared" si="35"/>
        <v>0</v>
      </c>
      <c r="N170">
        <f t="shared" si="36"/>
        <v>0</v>
      </c>
      <c r="O170">
        <f t="shared" si="37"/>
        <v>0</v>
      </c>
      <c r="P170">
        <f t="shared" si="38"/>
        <v>0</v>
      </c>
      <c r="Q170">
        <f t="shared" si="39"/>
        <v>0</v>
      </c>
      <c r="R170">
        <f t="shared" si="40"/>
        <v>0</v>
      </c>
      <c r="S170">
        <f t="shared" si="41"/>
        <v>0</v>
      </c>
      <c r="T170">
        <f t="shared" si="42"/>
        <v>0</v>
      </c>
      <c r="U170">
        <f t="shared" si="43"/>
        <v>0</v>
      </c>
      <c r="V170">
        <f t="shared" si="44"/>
        <v>0</v>
      </c>
    </row>
    <row r="171" spans="1:22" x14ac:dyDescent="0.3">
      <c r="A171" t="s">
        <v>22</v>
      </c>
      <c r="B171">
        <v>2008</v>
      </c>
      <c r="C171">
        <v>1</v>
      </c>
      <c r="D171" t="str">
        <f t="shared" si="30"/>
        <v>2008-01</v>
      </c>
      <c r="E171" s="2">
        <f>IF(MOD(ROW()-2,2)=0, INDEX('[1]2310008001-eng'!$B$13:$B$288, (ROW()-2)/2+1), INDEX('[1]2310008001-eng'!$C$13:$C$288, (ROW()-2)/2+1))*1000</f>
        <v>1262419000</v>
      </c>
      <c r="F171" s="2">
        <f>IF(MOD(ROW()-2,2)=0, INDEX('[2]1710000901-eng'!$B$12:$B$73, INT((ROW()-2)/6)+1), INDEX('[2]1710000901-eng'!$C$12:$C$73, INT((ROW()-2)/6)+1))</f>
        <v>12814686</v>
      </c>
      <c r="G171">
        <f t="shared" si="31"/>
        <v>98.513455577452305</v>
      </c>
      <c r="H171">
        <v>0</v>
      </c>
      <c r="I171">
        <v>1</v>
      </c>
      <c r="J171">
        <f t="shared" si="45"/>
        <v>0</v>
      </c>
      <c r="K171">
        <f t="shared" si="33"/>
        <v>1</v>
      </c>
      <c r="L171">
        <f t="shared" si="34"/>
        <v>0</v>
      </c>
      <c r="M171">
        <f t="shared" si="35"/>
        <v>0</v>
      </c>
      <c r="N171">
        <f t="shared" si="36"/>
        <v>0</v>
      </c>
      <c r="O171">
        <f t="shared" si="37"/>
        <v>0</v>
      </c>
      <c r="P171">
        <f t="shared" si="38"/>
        <v>0</v>
      </c>
      <c r="Q171">
        <f t="shared" si="39"/>
        <v>0</v>
      </c>
      <c r="R171">
        <f t="shared" si="40"/>
        <v>0</v>
      </c>
      <c r="S171">
        <f t="shared" si="41"/>
        <v>0</v>
      </c>
      <c r="T171">
        <f t="shared" si="42"/>
        <v>0</v>
      </c>
      <c r="U171">
        <f t="shared" si="43"/>
        <v>0</v>
      </c>
      <c r="V171">
        <f t="shared" si="44"/>
        <v>0</v>
      </c>
    </row>
    <row r="172" spans="1:22" x14ac:dyDescent="0.3">
      <c r="A172" t="s">
        <v>7</v>
      </c>
      <c r="B172">
        <v>2008</v>
      </c>
      <c r="C172">
        <v>2</v>
      </c>
      <c r="D172" t="str">
        <f t="shared" si="30"/>
        <v>2008-02</v>
      </c>
      <c r="E172" s="2">
        <f>IF(MOD(ROW()-2,2)=0, INDEX('[1]2310008001-eng'!$B$13:$B$288, (ROW()-2)/2+1), INDEX('[1]2310008001-eng'!$C$13:$C$288, (ROW()-2)/2+1))*1000</f>
        <v>659905000</v>
      </c>
      <c r="F172" s="2">
        <f>IF(MOD(ROW()-2,2)=0, INDEX('[2]1710000901-eng'!$B$12:$B$73, INT((ROW()-2)/6)+1), INDEX('[2]1710000901-eng'!$C$12:$C$73, INT((ROW()-2)/6)+1))</f>
        <v>7724885</v>
      </c>
      <c r="G172">
        <f t="shared" si="31"/>
        <v>85.425867181194278</v>
      </c>
      <c r="H172">
        <v>1</v>
      </c>
      <c r="I172">
        <v>1</v>
      </c>
      <c r="J172">
        <f t="shared" si="45"/>
        <v>1</v>
      </c>
      <c r="K172">
        <f t="shared" si="33"/>
        <v>0</v>
      </c>
      <c r="L172">
        <f t="shared" si="34"/>
        <v>1</v>
      </c>
      <c r="M172">
        <f t="shared" si="35"/>
        <v>0</v>
      </c>
      <c r="N172">
        <f t="shared" si="36"/>
        <v>0</v>
      </c>
      <c r="O172">
        <f t="shared" si="37"/>
        <v>0</v>
      </c>
      <c r="P172">
        <f t="shared" si="38"/>
        <v>0</v>
      </c>
      <c r="Q172">
        <f t="shared" si="39"/>
        <v>0</v>
      </c>
      <c r="R172">
        <f t="shared" si="40"/>
        <v>0</v>
      </c>
      <c r="S172">
        <f t="shared" si="41"/>
        <v>0</v>
      </c>
      <c r="T172">
        <f t="shared" si="42"/>
        <v>0</v>
      </c>
      <c r="U172">
        <f t="shared" si="43"/>
        <v>0</v>
      </c>
      <c r="V172">
        <f t="shared" si="44"/>
        <v>0</v>
      </c>
    </row>
    <row r="173" spans="1:22" x14ac:dyDescent="0.3">
      <c r="A173" t="s">
        <v>22</v>
      </c>
      <c r="B173">
        <v>2008</v>
      </c>
      <c r="C173">
        <v>2</v>
      </c>
      <c r="D173" t="str">
        <f t="shared" si="30"/>
        <v>2008-02</v>
      </c>
      <c r="E173" s="2">
        <f>IF(MOD(ROW()-2,2)=0, INDEX('[1]2310008001-eng'!$B$13:$B$288, (ROW()-2)/2+1), INDEX('[1]2310008001-eng'!$C$13:$C$288, (ROW()-2)/2+1))*1000</f>
        <v>1185642000</v>
      </c>
      <c r="F173" s="2">
        <f>IF(MOD(ROW()-2,2)=0, INDEX('[2]1710000901-eng'!$B$12:$B$73, INT((ROW()-2)/6)+1), INDEX('[2]1710000901-eng'!$C$12:$C$73, INT((ROW()-2)/6)+1))</f>
        <v>12814686</v>
      </c>
      <c r="G173">
        <f t="shared" si="31"/>
        <v>92.522126566347396</v>
      </c>
      <c r="H173">
        <v>0</v>
      </c>
      <c r="I173">
        <v>1</v>
      </c>
      <c r="J173">
        <f t="shared" si="45"/>
        <v>0</v>
      </c>
      <c r="K173">
        <f t="shared" si="33"/>
        <v>0</v>
      </c>
      <c r="L173">
        <f t="shared" si="34"/>
        <v>1</v>
      </c>
      <c r="M173">
        <f t="shared" si="35"/>
        <v>0</v>
      </c>
      <c r="N173">
        <f t="shared" si="36"/>
        <v>0</v>
      </c>
      <c r="O173">
        <f t="shared" si="37"/>
        <v>0</v>
      </c>
      <c r="P173">
        <f t="shared" si="38"/>
        <v>0</v>
      </c>
      <c r="Q173">
        <f t="shared" si="39"/>
        <v>0</v>
      </c>
      <c r="R173">
        <f t="shared" si="40"/>
        <v>0</v>
      </c>
      <c r="S173">
        <f t="shared" si="41"/>
        <v>0</v>
      </c>
      <c r="T173">
        <f t="shared" si="42"/>
        <v>0</v>
      </c>
      <c r="U173">
        <f t="shared" si="43"/>
        <v>0</v>
      </c>
      <c r="V173">
        <f t="shared" si="44"/>
        <v>0</v>
      </c>
    </row>
    <row r="174" spans="1:22" x14ac:dyDescent="0.3">
      <c r="A174" t="s">
        <v>7</v>
      </c>
      <c r="B174">
        <v>2008</v>
      </c>
      <c r="C174">
        <v>3</v>
      </c>
      <c r="D174" t="str">
        <f t="shared" si="30"/>
        <v>2008-03</v>
      </c>
      <c r="E174" s="2">
        <f>IF(MOD(ROW()-2,2)=0, INDEX('[1]2310008001-eng'!$B$13:$B$288, (ROW()-2)/2+1), INDEX('[1]2310008001-eng'!$C$13:$C$288, (ROW()-2)/2+1))*1000</f>
        <v>658526000</v>
      </c>
      <c r="F174" s="2">
        <f>IF(MOD(ROW()-2,2)=0, INDEX('[2]1710000901-eng'!$B$12:$B$73, INT((ROW()-2)/6)+1), INDEX('[2]1710000901-eng'!$C$12:$C$73, INT((ROW()-2)/6)+1))</f>
        <v>7724885</v>
      </c>
      <c r="G174">
        <f t="shared" si="31"/>
        <v>85.247353196843704</v>
      </c>
      <c r="H174">
        <v>1</v>
      </c>
      <c r="I174">
        <v>1</v>
      </c>
      <c r="J174">
        <f>IF(AND(H174=1, I174=1), 1, 0)</f>
        <v>1</v>
      </c>
      <c r="K174">
        <f t="shared" si="33"/>
        <v>0</v>
      </c>
      <c r="L174">
        <f t="shared" si="34"/>
        <v>0</v>
      </c>
      <c r="M174">
        <f t="shared" si="35"/>
        <v>1</v>
      </c>
      <c r="N174">
        <f t="shared" si="36"/>
        <v>0</v>
      </c>
      <c r="O174">
        <f t="shared" si="37"/>
        <v>0</v>
      </c>
      <c r="P174">
        <f t="shared" si="38"/>
        <v>0</v>
      </c>
      <c r="Q174">
        <f t="shared" si="39"/>
        <v>0</v>
      </c>
      <c r="R174">
        <f t="shared" si="40"/>
        <v>0</v>
      </c>
      <c r="S174">
        <f t="shared" si="41"/>
        <v>0</v>
      </c>
      <c r="T174">
        <f t="shared" si="42"/>
        <v>0</v>
      </c>
      <c r="U174">
        <f t="shared" si="43"/>
        <v>0</v>
      </c>
      <c r="V174">
        <f t="shared" si="44"/>
        <v>0</v>
      </c>
    </row>
    <row r="175" spans="1:22" x14ac:dyDescent="0.3">
      <c r="A175" t="s">
        <v>22</v>
      </c>
      <c r="B175">
        <v>2008</v>
      </c>
      <c r="C175">
        <v>3</v>
      </c>
      <c r="D175" t="str">
        <f t="shared" si="30"/>
        <v>2008-03</v>
      </c>
      <c r="E175" s="2">
        <f>IF(MOD(ROW()-2,2)=0, INDEX('[1]2310008001-eng'!$B$13:$B$288, (ROW()-2)/2+1), INDEX('[1]2310008001-eng'!$C$13:$C$288, (ROW()-2)/2+1))*1000</f>
        <v>1238246000</v>
      </c>
      <c r="F175" s="2">
        <f>IF(MOD(ROW()-2,2)=0, INDEX('[2]1710000901-eng'!$B$12:$B$73, INT((ROW()-2)/6)+1), INDEX('[2]1710000901-eng'!$C$12:$C$73, INT((ROW()-2)/6)+1))</f>
        <v>12814686</v>
      </c>
      <c r="G175">
        <f t="shared" si="31"/>
        <v>96.62710424586291</v>
      </c>
      <c r="H175">
        <v>0</v>
      </c>
      <c r="I175">
        <v>1</v>
      </c>
      <c r="J175">
        <f t="shared" ref="J175:J238" si="46">IF(AND(H175=1, I175=1), 1, 0)</f>
        <v>0</v>
      </c>
      <c r="K175">
        <f t="shared" si="33"/>
        <v>0</v>
      </c>
      <c r="L175">
        <f t="shared" si="34"/>
        <v>0</v>
      </c>
      <c r="M175">
        <f t="shared" si="35"/>
        <v>1</v>
      </c>
      <c r="N175">
        <f t="shared" si="36"/>
        <v>0</v>
      </c>
      <c r="O175">
        <f t="shared" si="37"/>
        <v>0</v>
      </c>
      <c r="P175">
        <f t="shared" si="38"/>
        <v>0</v>
      </c>
      <c r="Q175">
        <f t="shared" si="39"/>
        <v>0</v>
      </c>
      <c r="R175">
        <f t="shared" si="40"/>
        <v>0</v>
      </c>
      <c r="S175">
        <f t="shared" si="41"/>
        <v>0</v>
      </c>
      <c r="T175">
        <f t="shared" si="42"/>
        <v>0</v>
      </c>
      <c r="U175">
        <f t="shared" si="43"/>
        <v>0</v>
      </c>
      <c r="V175">
        <f t="shared" si="44"/>
        <v>0</v>
      </c>
    </row>
    <row r="176" spans="1:22" x14ac:dyDescent="0.3">
      <c r="A176" t="s">
        <v>7</v>
      </c>
      <c r="B176">
        <v>2008</v>
      </c>
      <c r="C176">
        <v>4</v>
      </c>
      <c r="D176" t="str">
        <f t="shared" si="30"/>
        <v>2008-04</v>
      </c>
      <c r="E176" s="2">
        <f>IF(MOD(ROW()-2,2)=0, INDEX('[1]2310008001-eng'!$B$13:$B$288, (ROW()-2)/2+1), INDEX('[1]2310008001-eng'!$C$13:$C$288, (ROW()-2)/2+1))*1000</f>
        <v>638973000</v>
      </c>
      <c r="F176" s="2">
        <f>IF(MOD(ROW()-2,2)=0, INDEX('[2]1710000901-eng'!$B$12:$B$73, INT((ROW()-2)/6)+1), INDEX('[2]1710000901-eng'!$C$12:$C$73, INT((ROW()-2)/6)+1))</f>
        <v>7739956</v>
      </c>
      <c r="G176">
        <f t="shared" si="31"/>
        <v>82.555120468385098</v>
      </c>
      <c r="H176">
        <v>1</v>
      </c>
      <c r="I176">
        <v>1</v>
      </c>
      <c r="J176">
        <f t="shared" si="46"/>
        <v>1</v>
      </c>
      <c r="K176">
        <f t="shared" si="33"/>
        <v>0</v>
      </c>
      <c r="L176">
        <f t="shared" si="34"/>
        <v>0</v>
      </c>
      <c r="M176">
        <f t="shared" si="35"/>
        <v>0</v>
      </c>
      <c r="N176">
        <f t="shared" si="36"/>
        <v>1</v>
      </c>
      <c r="O176">
        <f t="shared" si="37"/>
        <v>0</v>
      </c>
      <c r="P176">
        <f t="shared" si="38"/>
        <v>0</v>
      </c>
      <c r="Q176">
        <f t="shared" si="39"/>
        <v>0</v>
      </c>
      <c r="R176">
        <f t="shared" si="40"/>
        <v>0</v>
      </c>
      <c r="S176">
        <f t="shared" si="41"/>
        <v>0</v>
      </c>
      <c r="T176">
        <f t="shared" si="42"/>
        <v>0</v>
      </c>
      <c r="U176">
        <f t="shared" si="43"/>
        <v>0</v>
      </c>
      <c r="V176">
        <f t="shared" si="44"/>
        <v>0</v>
      </c>
    </row>
    <row r="177" spans="1:22" x14ac:dyDescent="0.3">
      <c r="A177" t="s">
        <v>22</v>
      </c>
      <c r="B177">
        <v>2008</v>
      </c>
      <c r="C177">
        <v>4</v>
      </c>
      <c r="D177" t="str">
        <f t="shared" si="30"/>
        <v>2008-04</v>
      </c>
      <c r="E177" s="2">
        <f>IF(MOD(ROW()-2,2)=0, INDEX('[1]2310008001-eng'!$B$13:$B$288, (ROW()-2)/2+1), INDEX('[1]2310008001-eng'!$C$13:$C$288, (ROW()-2)/2+1))*1000</f>
        <v>1232583000</v>
      </c>
      <c r="F177" s="2">
        <f>IF(MOD(ROW()-2,2)=0, INDEX('[2]1710000901-eng'!$B$12:$B$73, INT((ROW()-2)/6)+1), INDEX('[2]1710000901-eng'!$C$12:$C$73, INT((ROW()-2)/6)+1))</f>
        <v>12840482</v>
      </c>
      <c r="G177">
        <f t="shared" si="31"/>
        <v>95.99195731125981</v>
      </c>
      <c r="H177">
        <v>0</v>
      </c>
      <c r="I177">
        <v>1</v>
      </c>
      <c r="J177">
        <f t="shared" si="46"/>
        <v>0</v>
      </c>
      <c r="K177">
        <f t="shared" si="33"/>
        <v>0</v>
      </c>
      <c r="L177">
        <f t="shared" si="34"/>
        <v>0</v>
      </c>
      <c r="M177">
        <f t="shared" si="35"/>
        <v>0</v>
      </c>
      <c r="N177">
        <f t="shared" si="36"/>
        <v>1</v>
      </c>
      <c r="O177">
        <f t="shared" si="37"/>
        <v>0</v>
      </c>
      <c r="P177">
        <f t="shared" si="38"/>
        <v>0</v>
      </c>
      <c r="Q177">
        <f t="shared" si="39"/>
        <v>0</v>
      </c>
      <c r="R177">
        <f t="shared" si="40"/>
        <v>0</v>
      </c>
      <c r="S177">
        <f t="shared" si="41"/>
        <v>0</v>
      </c>
      <c r="T177">
        <f t="shared" si="42"/>
        <v>0</v>
      </c>
      <c r="U177">
        <f t="shared" si="43"/>
        <v>0</v>
      </c>
      <c r="V177">
        <f t="shared" si="44"/>
        <v>0</v>
      </c>
    </row>
    <row r="178" spans="1:22" x14ac:dyDescent="0.3">
      <c r="A178" t="s">
        <v>7</v>
      </c>
      <c r="B178">
        <v>2008</v>
      </c>
      <c r="C178">
        <v>5</v>
      </c>
      <c r="D178" t="str">
        <f t="shared" si="30"/>
        <v>2008-05</v>
      </c>
      <c r="E178" s="2">
        <f>IF(MOD(ROW()-2,2)=0, INDEX('[1]2310008001-eng'!$B$13:$B$288, (ROW()-2)/2+1), INDEX('[1]2310008001-eng'!$C$13:$C$288, (ROW()-2)/2+1))*1000</f>
        <v>696599000</v>
      </c>
      <c r="F178" s="2">
        <f>IF(MOD(ROW()-2,2)=0, INDEX('[2]1710000901-eng'!$B$12:$B$73, INT((ROW()-2)/6)+1), INDEX('[2]1710000901-eng'!$C$12:$C$73, INT((ROW()-2)/6)+1))</f>
        <v>7739956</v>
      </c>
      <c r="G178">
        <f t="shared" si="31"/>
        <v>90.000382431114602</v>
      </c>
      <c r="H178">
        <v>1</v>
      </c>
      <c r="I178">
        <v>1</v>
      </c>
      <c r="J178">
        <f t="shared" si="46"/>
        <v>1</v>
      </c>
      <c r="K178">
        <f t="shared" si="33"/>
        <v>0</v>
      </c>
      <c r="L178">
        <f t="shared" si="34"/>
        <v>0</v>
      </c>
      <c r="M178">
        <f t="shared" si="35"/>
        <v>0</v>
      </c>
      <c r="N178">
        <f t="shared" si="36"/>
        <v>0</v>
      </c>
      <c r="O178">
        <f t="shared" si="37"/>
        <v>1</v>
      </c>
      <c r="P178">
        <f t="shared" si="38"/>
        <v>0</v>
      </c>
      <c r="Q178">
        <f t="shared" si="39"/>
        <v>0</v>
      </c>
      <c r="R178">
        <f t="shared" si="40"/>
        <v>0</v>
      </c>
      <c r="S178">
        <f t="shared" si="41"/>
        <v>0</v>
      </c>
      <c r="T178">
        <f t="shared" si="42"/>
        <v>0</v>
      </c>
      <c r="U178">
        <f t="shared" si="43"/>
        <v>0</v>
      </c>
      <c r="V178">
        <f t="shared" si="44"/>
        <v>0</v>
      </c>
    </row>
    <row r="179" spans="1:22" x14ac:dyDescent="0.3">
      <c r="A179" t="s">
        <v>22</v>
      </c>
      <c r="B179">
        <v>2008</v>
      </c>
      <c r="C179">
        <v>5</v>
      </c>
      <c r="D179" t="str">
        <f t="shared" si="30"/>
        <v>2008-05</v>
      </c>
      <c r="E179" s="2">
        <f>IF(MOD(ROW()-2,2)=0, INDEX('[1]2310008001-eng'!$B$13:$B$288, (ROW()-2)/2+1), INDEX('[1]2310008001-eng'!$C$13:$C$288, (ROW()-2)/2+1))*1000</f>
        <v>1327557000</v>
      </c>
      <c r="F179" s="2">
        <f>IF(MOD(ROW()-2,2)=0, INDEX('[2]1710000901-eng'!$B$12:$B$73, INT((ROW()-2)/6)+1), INDEX('[2]1710000901-eng'!$C$12:$C$73, INT((ROW()-2)/6)+1))</f>
        <v>12840482</v>
      </c>
      <c r="G179">
        <f t="shared" si="31"/>
        <v>103.38840862827423</v>
      </c>
      <c r="H179">
        <v>0</v>
      </c>
      <c r="I179">
        <v>1</v>
      </c>
      <c r="J179">
        <f t="shared" si="46"/>
        <v>0</v>
      </c>
      <c r="K179">
        <f t="shared" si="33"/>
        <v>0</v>
      </c>
      <c r="L179">
        <f t="shared" si="34"/>
        <v>0</v>
      </c>
      <c r="M179">
        <f t="shared" si="35"/>
        <v>0</v>
      </c>
      <c r="N179">
        <f t="shared" si="36"/>
        <v>0</v>
      </c>
      <c r="O179">
        <f t="shared" si="37"/>
        <v>1</v>
      </c>
      <c r="P179">
        <f t="shared" si="38"/>
        <v>0</v>
      </c>
      <c r="Q179">
        <f t="shared" si="39"/>
        <v>0</v>
      </c>
      <c r="R179">
        <f t="shared" si="40"/>
        <v>0</v>
      </c>
      <c r="S179">
        <f t="shared" si="41"/>
        <v>0</v>
      </c>
      <c r="T179">
        <f t="shared" si="42"/>
        <v>0</v>
      </c>
      <c r="U179">
        <f t="shared" si="43"/>
        <v>0</v>
      </c>
      <c r="V179">
        <f t="shared" si="44"/>
        <v>0</v>
      </c>
    </row>
    <row r="180" spans="1:22" x14ac:dyDescent="0.3">
      <c r="A180" t="s">
        <v>7</v>
      </c>
      <c r="B180">
        <v>2008</v>
      </c>
      <c r="C180">
        <v>6</v>
      </c>
      <c r="D180" t="str">
        <f t="shared" si="30"/>
        <v>2008-06</v>
      </c>
      <c r="E180" s="2">
        <f>IF(MOD(ROW()-2,2)=0, INDEX('[1]2310008001-eng'!$B$13:$B$288, (ROW()-2)/2+1), INDEX('[1]2310008001-eng'!$C$13:$C$288, (ROW()-2)/2+1))*1000</f>
        <v>677582000</v>
      </c>
      <c r="F180" s="2">
        <f>IF(MOD(ROW()-2,2)=0, INDEX('[2]1710000901-eng'!$B$12:$B$73, INT((ROW()-2)/6)+1), INDEX('[2]1710000901-eng'!$C$12:$C$73, INT((ROW()-2)/6)+1))</f>
        <v>7739956</v>
      </c>
      <c r="G180">
        <f t="shared" si="31"/>
        <v>87.543391719539486</v>
      </c>
      <c r="H180">
        <v>1</v>
      </c>
      <c r="I180">
        <v>1</v>
      </c>
      <c r="J180">
        <f t="shared" si="46"/>
        <v>1</v>
      </c>
      <c r="K180">
        <f t="shared" si="33"/>
        <v>0</v>
      </c>
      <c r="L180">
        <f t="shared" si="34"/>
        <v>0</v>
      </c>
      <c r="M180">
        <f t="shared" si="35"/>
        <v>0</v>
      </c>
      <c r="N180">
        <f t="shared" si="36"/>
        <v>0</v>
      </c>
      <c r="O180">
        <f t="shared" si="37"/>
        <v>0</v>
      </c>
      <c r="P180">
        <f t="shared" si="38"/>
        <v>1</v>
      </c>
      <c r="Q180">
        <f t="shared" si="39"/>
        <v>0</v>
      </c>
      <c r="R180">
        <f t="shared" si="40"/>
        <v>0</v>
      </c>
      <c r="S180">
        <f t="shared" si="41"/>
        <v>0</v>
      </c>
      <c r="T180">
        <f t="shared" si="42"/>
        <v>0</v>
      </c>
      <c r="U180">
        <f t="shared" si="43"/>
        <v>0</v>
      </c>
      <c r="V180">
        <f t="shared" si="44"/>
        <v>0</v>
      </c>
    </row>
    <row r="181" spans="1:22" x14ac:dyDescent="0.3">
      <c r="A181" t="s">
        <v>22</v>
      </c>
      <c r="B181">
        <v>2008</v>
      </c>
      <c r="C181">
        <v>6</v>
      </c>
      <c r="D181" t="str">
        <f t="shared" si="30"/>
        <v>2008-06</v>
      </c>
      <c r="E181" s="2">
        <f>IF(MOD(ROW()-2,2)=0, INDEX('[1]2310008001-eng'!$B$13:$B$288, (ROW()-2)/2+1), INDEX('[1]2310008001-eng'!$C$13:$C$288, (ROW()-2)/2+1))*1000</f>
        <v>1216725000</v>
      </c>
      <c r="F181" s="2">
        <f>IF(MOD(ROW()-2,2)=0, INDEX('[2]1710000901-eng'!$B$12:$B$73, INT((ROW()-2)/6)+1), INDEX('[2]1710000901-eng'!$C$12:$C$73, INT((ROW()-2)/6)+1))</f>
        <v>12840482</v>
      </c>
      <c r="G181">
        <f t="shared" si="31"/>
        <v>94.756956942893581</v>
      </c>
      <c r="H181">
        <v>0</v>
      </c>
      <c r="I181">
        <v>1</v>
      </c>
      <c r="J181">
        <f t="shared" si="46"/>
        <v>0</v>
      </c>
      <c r="K181">
        <f t="shared" si="33"/>
        <v>0</v>
      </c>
      <c r="L181">
        <f t="shared" si="34"/>
        <v>0</v>
      </c>
      <c r="M181">
        <f t="shared" si="35"/>
        <v>0</v>
      </c>
      <c r="N181">
        <f t="shared" si="36"/>
        <v>0</v>
      </c>
      <c r="O181">
        <f t="shared" si="37"/>
        <v>0</v>
      </c>
      <c r="P181">
        <f t="shared" si="38"/>
        <v>1</v>
      </c>
      <c r="Q181">
        <f t="shared" si="39"/>
        <v>0</v>
      </c>
      <c r="R181">
        <f t="shared" si="40"/>
        <v>0</v>
      </c>
      <c r="S181">
        <f t="shared" si="41"/>
        <v>0</v>
      </c>
      <c r="T181">
        <f t="shared" si="42"/>
        <v>0</v>
      </c>
      <c r="U181">
        <f t="shared" si="43"/>
        <v>0</v>
      </c>
      <c r="V181">
        <f t="shared" si="44"/>
        <v>0</v>
      </c>
    </row>
    <row r="182" spans="1:22" x14ac:dyDescent="0.3">
      <c r="A182" t="s">
        <v>7</v>
      </c>
      <c r="B182">
        <v>2008</v>
      </c>
      <c r="C182">
        <v>7</v>
      </c>
      <c r="D182" t="str">
        <f t="shared" si="30"/>
        <v>2008-07</v>
      </c>
      <c r="E182" s="2">
        <f>IF(MOD(ROW()-2,2)=0, INDEX('[1]2310008001-eng'!$B$13:$B$288, (ROW()-2)/2+1), INDEX('[1]2310008001-eng'!$C$13:$C$288, (ROW()-2)/2+1))*1000</f>
        <v>709515000</v>
      </c>
      <c r="F182" s="2">
        <f>IF(MOD(ROW()-2,2)=0, INDEX('[2]1710000901-eng'!$B$12:$B$73, INT((ROW()-2)/6)+1), INDEX('[2]1710000901-eng'!$C$12:$C$73, INT((ROW()-2)/6)+1))</f>
        <v>7761614</v>
      </c>
      <c r="G182">
        <f t="shared" si="31"/>
        <v>91.413332330105575</v>
      </c>
      <c r="H182">
        <v>1</v>
      </c>
      <c r="I182">
        <v>1</v>
      </c>
      <c r="J182">
        <f t="shared" si="46"/>
        <v>1</v>
      </c>
      <c r="K182">
        <f t="shared" si="33"/>
        <v>0</v>
      </c>
      <c r="L182">
        <f t="shared" si="34"/>
        <v>0</v>
      </c>
      <c r="M182">
        <f t="shared" si="35"/>
        <v>0</v>
      </c>
      <c r="N182">
        <f t="shared" si="36"/>
        <v>0</v>
      </c>
      <c r="O182">
        <f t="shared" si="37"/>
        <v>0</v>
      </c>
      <c r="P182">
        <f t="shared" si="38"/>
        <v>0</v>
      </c>
      <c r="Q182">
        <f t="shared" si="39"/>
        <v>1</v>
      </c>
      <c r="R182">
        <f t="shared" si="40"/>
        <v>0</v>
      </c>
      <c r="S182">
        <f t="shared" si="41"/>
        <v>0</v>
      </c>
      <c r="T182">
        <f t="shared" si="42"/>
        <v>0</v>
      </c>
      <c r="U182">
        <f t="shared" si="43"/>
        <v>0</v>
      </c>
      <c r="V182">
        <f t="shared" si="44"/>
        <v>0</v>
      </c>
    </row>
    <row r="183" spans="1:22" x14ac:dyDescent="0.3">
      <c r="A183" t="s">
        <v>22</v>
      </c>
      <c r="B183">
        <v>2008</v>
      </c>
      <c r="C183">
        <v>7</v>
      </c>
      <c r="D183" t="str">
        <f t="shared" si="30"/>
        <v>2008-07</v>
      </c>
      <c r="E183" s="2">
        <f>IF(MOD(ROW()-2,2)=0, INDEX('[1]2310008001-eng'!$B$13:$B$288, (ROW()-2)/2+1), INDEX('[1]2310008001-eng'!$C$13:$C$288, (ROW()-2)/2+1))*1000</f>
        <v>1355343000</v>
      </c>
      <c r="F183" s="2">
        <f>IF(MOD(ROW()-2,2)=0, INDEX('[2]1710000901-eng'!$B$12:$B$73, INT((ROW()-2)/6)+1), INDEX('[2]1710000901-eng'!$C$12:$C$73, INT((ROW()-2)/6)+1))</f>
        <v>12883824</v>
      </c>
      <c r="G183">
        <f t="shared" si="31"/>
        <v>105.19726130999616</v>
      </c>
      <c r="H183">
        <v>0</v>
      </c>
      <c r="I183">
        <v>1</v>
      </c>
      <c r="J183">
        <f t="shared" si="46"/>
        <v>0</v>
      </c>
      <c r="K183">
        <f t="shared" si="33"/>
        <v>0</v>
      </c>
      <c r="L183">
        <f t="shared" si="34"/>
        <v>0</v>
      </c>
      <c r="M183">
        <f t="shared" si="35"/>
        <v>0</v>
      </c>
      <c r="N183">
        <f t="shared" si="36"/>
        <v>0</v>
      </c>
      <c r="O183">
        <f t="shared" si="37"/>
        <v>0</v>
      </c>
      <c r="P183">
        <f t="shared" si="38"/>
        <v>0</v>
      </c>
      <c r="Q183">
        <f t="shared" si="39"/>
        <v>1</v>
      </c>
      <c r="R183">
        <f t="shared" si="40"/>
        <v>0</v>
      </c>
      <c r="S183">
        <f t="shared" si="41"/>
        <v>0</v>
      </c>
      <c r="T183">
        <f t="shared" si="42"/>
        <v>0</v>
      </c>
      <c r="U183">
        <f t="shared" si="43"/>
        <v>0</v>
      </c>
      <c r="V183">
        <f t="shared" si="44"/>
        <v>0</v>
      </c>
    </row>
    <row r="184" spans="1:22" x14ac:dyDescent="0.3">
      <c r="A184" t="s">
        <v>7</v>
      </c>
      <c r="B184">
        <v>2008</v>
      </c>
      <c r="C184">
        <v>8</v>
      </c>
      <c r="D184" t="str">
        <f t="shared" si="30"/>
        <v>2008-08</v>
      </c>
      <c r="E184" s="2">
        <f>IF(MOD(ROW()-2,2)=0, INDEX('[1]2310008001-eng'!$B$13:$B$288, (ROW()-2)/2+1), INDEX('[1]2310008001-eng'!$C$13:$C$288, (ROW()-2)/2+1))*1000</f>
        <v>710603000</v>
      </c>
      <c r="F184" s="2">
        <f>IF(MOD(ROW()-2,2)=0, INDEX('[2]1710000901-eng'!$B$12:$B$73, INT((ROW()-2)/6)+1), INDEX('[2]1710000901-eng'!$C$12:$C$73, INT((ROW()-2)/6)+1))</f>
        <v>7761614</v>
      </c>
      <c r="G184">
        <f t="shared" si="31"/>
        <v>91.553509360295422</v>
      </c>
      <c r="H184">
        <v>1</v>
      </c>
      <c r="I184">
        <v>1</v>
      </c>
      <c r="J184">
        <f t="shared" si="46"/>
        <v>1</v>
      </c>
      <c r="K184">
        <f t="shared" si="33"/>
        <v>0</v>
      </c>
      <c r="L184">
        <f t="shared" si="34"/>
        <v>0</v>
      </c>
      <c r="M184">
        <f t="shared" si="35"/>
        <v>0</v>
      </c>
      <c r="N184">
        <f t="shared" si="36"/>
        <v>0</v>
      </c>
      <c r="O184">
        <f t="shared" si="37"/>
        <v>0</v>
      </c>
      <c r="P184">
        <f t="shared" si="38"/>
        <v>0</v>
      </c>
      <c r="Q184">
        <f t="shared" si="39"/>
        <v>0</v>
      </c>
      <c r="R184">
        <f t="shared" si="40"/>
        <v>1</v>
      </c>
      <c r="S184">
        <f t="shared" si="41"/>
        <v>0</v>
      </c>
      <c r="T184">
        <f t="shared" si="42"/>
        <v>0</v>
      </c>
      <c r="U184">
        <f t="shared" si="43"/>
        <v>0</v>
      </c>
      <c r="V184">
        <f t="shared" si="44"/>
        <v>0</v>
      </c>
    </row>
    <row r="185" spans="1:22" x14ac:dyDescent="0.3">
      <c r="A185" t="s">
        <v>22</v>
      </c>
      <c r="B185">
        <v>2008</v>
      </c>
      <c r="C185">
        <v>8</v>
      </c>
      <c r="D185" t="str">
        <f t="shared" si="30"/>
        <v>2008-08</v>
      </c>
      <c r="E185" s="2">
        <f>IF(MOD(ROW()-2,2)=0, INDEX('[1]2310008001-eng'!$B$13:$B$288, (ROW()-2)/2+1), INDEX('[1]2310008001-eng'!$C$13:$C$288, (ROW()-2)/2+1))*1000</f>
        <v>1345633000</v>
      </c>
      <c r="F185" s="2">
        <f>IF(MOD(ROW()-2,2)=0, INDEX('[2]1710000901-eng'!$B$12:$B$73, INT((ROW()-2)/6)+1), INDEX('[2]1710000901-eng'!$C$12:$C$73, INT((ROW()-2)/6)+1))</f>
        <v>12883824</v>
      </c>
      <c r="G185">
        <f t="shared" si="31"/>
        <v>104.44360307933421</v>
      </c>
      <c r="H185">
        <v>0</v>
      </c>
      <c r="I185">
        <v>1</v>
      </c>
      <c r="J185">
        <f t="shared" si="46"/>
        <v>0</v>
      </c>
      <c r="K185">
        <f t="shared" si="33"/>
        <v>0</v>
      </c>
      <c r="L185">
        <f t="shared" si="34"/>
        <v>0</v>
      </c>
      <c r="M185">
        <f t="shared" si="35"/>
        <v>0</v>
      </c>
      <c r="N185">
        <f t="shared" si="36"/>
        <v>0</v>
      </c>
      <c r="O185">
        <f t="shared" si="37"/>
        <v>0</v>
      </c>
      <c r="P185">
        <f t="shared" si="38"/>
        <v>0</v>
      </c>
      <c r="Q185">
        <f t="shared" si="39"/>
        <v>0</v>
      </c>
      <c r="R185">
        <f t="shared" si="40"/>
        <v>1</v>
      </c>
      <c r="S185">
        <f t="shared" si="41"/>
        <v>0</v>
      </c>
      <c r="T185">
        <f t="shared" si="42"/>
        <v>0</v>
      </c>
      <c r="U185">
        <f t="shared" si="43"/>
        <v>0</v>
      </c>
      <c r="V185">
        <f t="shared" si="44"/>
        <v>0</v>
      </c>
    </row>
    <row r="186" spans="1:22" x14ac:dyDescent="0.3">
      <c r="A186" t="s">
        <v>7</v>
      </c>
      <c r="B186">
        <v>2008</v>
      </c>
      <c r="C186">
        <v>9</v>
      </c>
      <c r="D186" t="str">
        <f t="shared" si="30"/>
        <v>2008-09</v>
      </c>
      <c r="E186" s="2">
        <f>IF(MOD(ROW()-2,2)=0, INDEX('[1]2310008001-eng'!$B$13:$B$288, (ROW()-2)/2+1), INDEX('[1]2310008001-eng'!$C$13:$C$288, (ROW()-2)/2+1))*1000</f>
        <v>671409000</v>
      </c>
      <c r="F186" s="2">
        <f>IF(MOD(ROW()-2,2)=0, INDEX('[2]1710000901-eng'!$B$12:$B$73, INT((ROW()-2)/6)+1), INDEX('[2]1710000901-eng'!$C$12:$C$73, INT((ROW()-2)/6)+1))</f>
        <v>7761614</v>
      </c>
      <c r="G186">
        <f t="shared" si="31"/>
        <v>86.503786454724491</v>
      </c>
      <c r="H186">
        <v>1</v>
      </c>
      <c r="I186">
        <v>1</v>
      </c>
      <c r="J186">
        <f t="shared" si="46"/>
        <v>1</v>
      </c>
      <c r="K186">
        <f t="shared" si="33"/>
        <v>0</v>
      </c>
      <c r="L186">
        <f t="shared" si="34"/>
        <v>0</v>
      </c>
      <c r="M186">
        <f t="shared" si="35"/>
        <v>0</v>
      </c>
      <c r="N186">
        <f t="shared" si="36"/>
        <v>0</v>
      </c>
      <c r="O186">
        <f t="shared" si="37"/>
        <v>0</v>
      </c>
      <c r="P186">
        <f t="shared" si="38"/>
        <v>0</v>
      </c>
      <c r="Q186">
        <f t="shared" si="39"/>
        <v>0</v>
      </c>
      <c r="R186">
        <f t="shared" si="40"/>
        <v>0</v>
      </c>
      <c r="S186">
        <f t="shared" si="41"/>
        <v>1</v>
      </c>
      <c r="T186">
        <f t="shared" si="42"/>
        <v>0</v>
      </c>
      <c r="U186">
        <f t="shared" si="43"/>
        <v>0</v>
      </c>
      <c r="V186">
        <f t="shared" si="44"/>
        <v>0</v>
      </c>
    </row>
    <row r="187" spans="1:22" x14ac:dyDescent="0.3">
      <c r="A187" t="s">
        <v>22</v>
      </c>
      <c r="B187">
        <v>2008</v>
      </c>
      <c r="C187">
        <v>9</v>
      </c>
      <c r="D187" t="str">
        <f t="shared" si="30"/>
        <v>2008-09</v>
      </c>
      <c r="E187" s="2">
        <f>IF(MOD(ROW()-2,2)=0, INDEX('[1]2310008001-eng'!$B$13:$B$288, (ROW()-2)/2+1), INDEX('[1]2310008001-eng'!$C$13:$C$288, (ROW()-2)/2+1))*1000</f>
        <v>1289079000</v>
      </c>
      <c r="F187" s="2">
        <f>IF(MOD(ROW()-2,2)=0, INDEX('[2]1710000901-eng'!$B$12:$B$73, INT((ROW()-2)/6)+1), INDEX('[2]1710000901-eng'!$C$12:$C$73, INT((ROW()-2)/6)+1))</f>
        <v>12883824</v>
      </c>
      <c r="G187">
        <f t="shared" si="31"/>
        <v>100.05406779850455</v>
      </c>
      <c r="H187">
        <v>0</v>
      </c>
      <c r="I187">
        <v>1</v>
      </c>
      <c r="J187">
        <f t="shared" si="46"/>
        <v>0</v>
      </c>
      <c r="K187">
        <f t="shared" si="33"/>
        <v>0</v>
      </c>
      <c r="L187">
        <f t="shared" si="34"/>
        <v>0</v>
      </c>
      <c r="M187">
        <f t="shared" si="35"/>
        <v>0</v>
      </c>
      <c r="N187">
        <f t="shared" si="36"/>
        <v>0</v>
      </c>
      <c r="O187">
        <f t="shared" si="37"/>
        <v>0</v>
      </c>
      <c r="P187">
        <f t="shared" si="38"/>
        <v>0</v>
      </c>
      <c r="Q187">
        <f t="shared" si="39"/>
        <v>0</v>
      </c>
      <c r="R187">
        <f t="shared" si="40"/>
        <v>0</v>
      </c>
      <c r="S187">
        <f t="shared" si="41"/>
        <v>1</v>
      </c>
      <c r="T187">
        <f t="shared" si="42"/>
        <v>0</v>
      </c>
      <c r="U187">
        <f t="shared" si="43"/>
        <v>0</v>
      </c>
      <c r="V187">
        <f t="shared" si="44"/>
        <v>0</v>
      </c>
    </row>
    <row r="188" spans="1:22" x14ac:dyDescent="0.3">
      <c r="A188" t="s">
        <v>7</v>
      </c>
      <c r="B188">
        <v>2008</v>
      </c>
      <c r="C188">
        <v>10</v>
      </c>
      <c r="D188" t="str">
        <f t="shared" si="30"/>
        <v>2008-10</v>
      </c>
      <c r="E188" s="2">
        <f>IF(MOD(ROW()-2,2)=0, INDEX('[1]2310008001-eng'!$B$13:$B$288, (ROW()-2)/2+1), INDEX('[1]2310008001-eng'!$C$13:$C$288, (ROW()-2)/2+1))*1000</f>
        <v>700613000</v>
      </c>
      <c r="F188" s="2">
        <f>IF(MOD(ROW()-2,2)=0, INDEX('[2]1710000901-eng'!$B$12:$B$73, INT((ROW()-2)/6)+1), INDEX('[2]1710000901-eng'!$C$12:$C$73, INT((ROW()-2)/6)+1))</f>
        <v>7786609</v>
      </c>
      <c r="G188">
        <f t="shared" si="31"/>
        <v>89.976650940094714</v>
      </c>
      <c r="H188">
        <v>1</v>
      </c>
      <c r="I188">
        <v>1</v>
      </c>
      <c r="J188">
        <f t="shared" si="46"/>
        <v>1</v>
      </c>
      <c r="K188">
        <f t="shared" si="33"/>
        <v>0</v>
      </c>
      <c r="L188">
        <f t="shared" si="34"/>
        <v>0</v>
      </c>
      <c r="M188">
        <f t="shared" si="35"/>
        <v>0</v>
      </c>
      <c r="N188">
        <f t="shared" si="36"/>
        <v>0</v>
      </c>
      <c r="O188">
        <f t="shared" si="37"/>
        <v>0</v>
      </c>
      <c r="P188">
        <f t="shared" si="38"/>
        <v>0</v>
      </c>
      <c r="Q188">
        <f t="shared" si="39"/>
        <v>0</v>
      </c>
      <c r="R188">
        <f t="shared" si="40"/>
        <v>0</v>
      </c>
      <c r="S188">
        <f t="shared" si="41"/>
        <v>0</v>
      </c>
      <c r="T188">
        <f t="shared" si="42"/>
        <v>1</v>
      </c>
      <c r="U188">
        <f t="shared" si="43"/>
        <v>0</v>
      </c>
      <c r="V188">
        <f t="shared" si="44"/>
        <v>0</v>
      </c>
    </row>
    <row r="189" spans="1:22" x14ac:dyDescent="0.3">
      <c r="A189" t="s">
        <v>22</v>
      </c>
      <c r="B189">
        <v>2008</v>
      </c>
      <c r="C189">
        <v>10</v>
      </c>
      <c r="D189" t="str">
        <f t="shared" si="30"/>
        <v>2008-10</v>
      </c>
      <c r="E189" s="2">
        <f>IF(MOD(ROW()-2,2)=0, INDEX('[1]2310008001-eng'!$B$13:$B$288, (ROW()-2)/2+1), INDEX('[1]2310008001-eng'!$C$13:$C$288, (ROW()-2)/2+1))*1000</f>
        <v>1374978000</v>
      </c>
      <c r="F189" s="2">
        <f>IF(MOD(ROW()-2,2)=0, INDEX('[2]1710000901-eng'!$B$12:$B$73, INT((ROW()-2)/6)+1), INDEX('[2]1710000901-eng'!$C$12:$C$73, INT((ROW()-2)/6)+1))</f>
        <v>12927520</v>
      </c>
      <c r="G189">
        <f t="shared" si="31"/>
        <v>106.360539376462</v>
      </c>
      <c r="H189">
        <v>0</v>
      </c>
      <c r="I189">
        <v>1</v>
      </c>
      <c r="J189">
        <f t="shared" si="46"/>
        <v>0</v>
      </c>
      <c r="K189">
        <f t="shared" si="33"/>
        <v>0</v>
      </c>
      <c r="L189">
        <f t="shared" si="34"/>
        <v>0</v>
      </c>
      <c r="M189">
        <f t="shared" si="35"/>
        <v>0</v>
      </c>
      <c r="N189">
        <f t="shared" si="36"/>
        <v>0</v>
      </c>
      <c r="O189">
        <f t="shared" si="37"/>
        <v>0</v>
      </c>
      <c r="P189">
        <f t="shared" si="38"/>
        <v>0</v>
      </c>
      <c r="Q189">
        <f t="shared" si="39"/>
        <v>0</v>
      </c>
      <c r="R189">
        <f t="shared" si="40"/>
        <v>0</v>
      </c>
      <c r="S189">
        <f t="shared" si="41"/>
        <v>0</v>
      </c>
      <c r="T189">
        <f t="shared" si="42"/>
        <v>1</v>
      </c>
      <c r="U189">
        <f t="shared" si="43"/>
        <v>0</v>
      </c>
      <c r="V189">
        <f t="shared" si="44"/>
        <v>0</v>
      </c>
    </row>
    <row r="190" spans="1:22" x14ac:dyDescent="0.3">
      <c r="A190" t="s">
        <v>7</v>
      </c>
      <c r="B190">
        <v>2008</v>
      </c>
      <c r="C190">
        <v>11</v>
      </c>
      <c r="D190" t="str">
        <f t="shared" si="30"/>
        <v>2008-11</v>
      </c>
      <c r="E190" s="2">
        <f>IF(MOD(ROW()-2,2)=0, INDEX('[1]2310008001-eng'!$B$13:$B$288, (ROW()-2)/2+1), INDEX('[1]2310008001-eng'!$C$13:$C$288, (ROW()-2)/2+1))*1000</f>
        <v>659262000</v>
      </c>
      <c r="F190" s="2">
        <f>IF(MOD(ROW()-2,2)=0, INDEX('[2]1710000901-eng'!$B$12:$B$73, INT((ROW()-2)/6)+1), INDEX('[2]1710000901-eng'!$C$12:$C$73, INT((ROW()-2)/6)+1))</f>
        <v>7786609</v>
      </c>
      <c r="G190">
        <f t="shared" si="31"/>
        <v>84.666123597576302</v>
      </c>
      <c r="H190">
        <v>1</v>
      </c>
      <c r="I190">
        <v>1</v>
      </c>
      <c r="J190">
        <f t="shared" si="46"/>
        <v>1</v>
      </c>
      <c r="K190">
        <f t="shared" si="33"/>
        <v>0</v>
      </c>
      <c r="L190">
        <f t="shared" si="34"/>
        <v>0</v>
      </c>
      <c r="M190">
        <f t="shared" si="35"/>
        <v>0</v>
      </c>
      <c r="N190">
        <f t="shared" si="36"/>
        <v>0</v>
      </c>
      <c r="O190">
        <f t="shared" si="37"/>
        <v>0</v>
      </c>
      <c r="P190">
        <f t="shared" si="38"/>
        <v>0</v>
      </c>
      <c r="Q190">
        <f t="shared" si="39"/>
        <v>0</v>
      </c>
      <c r="R190">
        <f t="shared" si="40"/>
        <v>0</v>
      </c>
      <c r="S190">
        <f t="shared" si="41"/>
        <v>0</v>
      </c>
      <c r="T190">
        <f t="shared" si="42"/>
        <v>0</v>
      </c>
      <c r="U190">
        <f t="shared" si="43"/>
        <v>1</v>
      </c>
      <c r="V190">
        <f t="shared" si="44"/>
        <v>0</v>
      </c>
    </row>
    <row r="191" spans="1:22" x14ac:dyDescent="0.3">
      <c r="A191" t="s">
        <v>22</v>
      </c>
      <c r="B191">
        <v>2008</v>
      </c>
      <c r="C191">
        <v>11</v>
      </c>
      <c r="D191" t="str">
        <f t="shared" si="30"/>
        <v>2008-11</v>
      </c>
      <c r="E191" s="2">
        <f>IF(MOD(ROW()-2,2)=0, INDEX('[1]2310008001-eng'!$B$13:$B$288, (ROW()-2)/2+1), INDEX('[1]2310008001-eng'!$C$13:$C$288, (ROW()-2)/2+1))*1000</f>
        <v>1280778000</v>
      </c>
      <c r="F191" s="2">
        <f>IF(MOD(ROW()-2,2)=0, INDEX('[2]1710000901-eng'!$B$12:$B$73, INT((ROW()-2)/6)+1), INDEX('[2]1710000901-eng'!$C$12:$C$73, INT((ROW()-2)/6)+1))</f>
        <v>12927520</v>
      </c>
      <c r="G191">
        <f t="shared" si="31"/>
        <v>99.073758926692818</v>
      </c>
      <c r="H191">
        <v>0</v>
      </c>
      <c r="I191">
        <v>1</v>
      </c>
      <c r="J191">
        <f t="shared" si="46"/>
        <v>0</v>
      </c>
      <c r="K191">
        <f t="shared" si="33"/>
        <v>0</v>
      </c>
      <c r="L191">
        <f t="shared" si="34"/>
        <v>0</v>
      </c>
      <c r="M191">
        <f t="shared" si="35"/>
        <v>0</v>
      </c>
      <c r="N191">
        <f t="shared" si="36"/>
        <v>0</v>
      </c>
      <c r="O191">
        <f t="shared" si="37"/>
        <v>0</v>
      </c>
      <c r="P191">
        <f t="shared" si="38"/>
        <v>0</v>
      </c>
      <c r="Q191">
        <f t="shared" si="39"/>
        <v>0</v>
      </c>
      <c r="R191">
        <f t="shared" si="40"/>
        <v>0</v>
      </c>
      <c r="S191">
        <f t="shared" si="41"/>
        <v>0</v>
      </c>
      <c r="T191">
        <f t="shared" si="42"/>
        <v>0</v>
      </c>
      <c r="U191">
        <f t="shared" si="43"/>
        <v>1</v>
      </c>
      <c r="V191">
        <f t="shared" si="44"/>
        <v>0</v>
      </c>
    </row>
    <row r="192" spans="1:22" x14ac:dyDescent="0.3">
      <c r="A192" t="s">
        <v>7</v>
      </c>
      <c r="B192">
        <v>2008</v>
      </c>
      <c r="C192">
        <v>12</v>
      </c>
      <c r="D192" t="str">
        <f t="shared" si="30"/>
        <v>2008-12</v>
      </c>
      <c r="E192" s="2">
        <f>IF(MOD(ROW()-2,2)=0, INDEX('[1]2310008001-eng'!$B$13:$B$288, (ROW()-2)/2+1), INDEX('[1]2310008001-eng'!$C$13:$C$288, (ROW()-2)/2+1))*1000</f>
        <v>720750000</v>
      </c>
      <c r="F192" s="2">
        <f>IF(MOD(ROW()-2,2)=0, INDEX('[2]1710000901-eng'!$B$12:$B$73, INT((ROW()-2)/6)+1), INDEX('[2]1710000901-eng'!$C$12:$C$73, INT((ROW()-2)/6)+1))</f>
        <v>7786609</v>
      </c>
      <c r="G192">
        <f t="shared" si="31"/>
        <v>92.5627574211059</v>
      </c>
      <c r="H192">
        <v>1</v>
      </c>
      <c r="I192">
        <v>1</v>
      </c>
      <c r="J192">
        <f t="shared" si="46"/>
        <v>1</v>
      </c>
      <c r="K192">
        <f t="shared" si="33"/>
        <v>0</v>
      </c>
      <c r="L192">
        <f t="shared" si="34"/>
        <v>0</v>
      </c>
      <c r="M192">
        <f t="shared" si="35"/>
        <v>0</v>
      </c>
      <c r="N192">
        <f t="shared" si="36"/>
        <v>0</v>
      </c>
      <c r="O192">
        <f t="shared" si="37"/>
        <v>0</v>
      </c>
      <c r="P192">
        <f t="shared" si="38"/>
        <v>0</v>
      </c>
      <c r="Q192">
        <f t="shared" si="39"/>
        <v>0</v>
      </c>
      <c r="R192">
        <f t="shared" si="40"/>
        <v>0</v>
      </c>
      <c r="S192">
        <f t="shared" si="41"/>
        <v>0</v>
      </c>
      <c r="T192">
        <f t="shared" si="42"/>
        <v>0</v>
      </c>
      <c r="U192">
        <f t="shared" si="43"/>
        <v>0</v>
      </c>
      <c r="V192">
        <f t="shared" si="44"/>
        <v>1</v>
      </c>
    </row>
    <row r="193" spans="1:22" x14ac:dyDescent="0.3">
      <c r="A193" t="s">
        <v>22</v>
      </c>
      <c r="B193">
        <v>2008</v>
      </c>
      <c r="C193">
        <v>12</v>
      </c>
      <c r="D193" t="str">
        <f t="shared" si="30"/>
        <v>2008-12</v>
      </c>
      <c r="E193" s="2">
        <f>IF(MOD(ROW()-2,2)=0, INDEX('[1]2310008001-eng'!$B$13:$B$288, (ROW()-2)/2+1), INDEX('[1]2310008001-eng'!$C$13:$C$288, (ROW()-2)/2+1))*1000</f>
        <v>1334392000</v>
      </c>
      <c r="F193" s="2">
        <f>IF(MOD(ROW()-2,2)=0, INDEX('[2]1710000901-eng'!$B$12:$B$73, INT((ROW()-2)/6)+1), INDEX('[2]1710000901-eng'!$C$12:$C$73, INT((ROW()-2)/6)+1))</f>
        <v>12927520</v>
      </c>
      <c r="G193">
        <f t="shared" si="31"/>
        <v>103.22103543448395</v>
      </c>
      <c r="H193">
        <v>0</v>
      </c>
      <c r="I193">
        <v>1</v>
      </c>
      <c r="J193">
        <f t="shared" si="46"/>
        <v>0</v>
      </c>
      <c r="K193">
        <f t="shared" si="33"/>
        <v>0</v>
      </c>
      <c r="L193">
        <f t="shared" si="34"/>
        <v>0</v>
      </c>
      <c r="M193">
        <f t="shared" si="35"/>
        <v>0</v>
      </c>
      <c r="N193">
        <f t="shared" si="36"/>
        <v>0</v>
      </c>
      <c r="O193">
        <f t="shared" si="37"/>
        <v>0</v>
      </c>
      <c r="P193">
        <f t="shared" si="38"/>
        <v>0</v>
      </c>
      <c r="Q193">
        <f t="shared" si="39"/>
        <v>0</v>
      </c>
      <c r="R193">
        <f t="shared" si="40"/>
        <v>0</v>
      </c>
      <c r="S193">
        <f t="shared" si="41"/>
        <v>0</v>
      </c>
      <c r="T193">
        <f t="shared" si="42"/>
        <v>0</v>
      </c>
      <c r="U193">
        <f t="shared" si="43"/>
        <v>0</v>
      </c>
      <c r="V193">
        <f t="shared" si="44"/>
        <v>1</v>
      </c>
    </row>
    <row r="194" spans="1:22" x14ac:dyDescent="0.3">
      <c r="A194" t="s">
        <v>7</v>
      </c>
      <c r="B194">
        <v>2009</v>
      </c>
      <c r="C194">
        <v>1</v>
      </c>
      <c r="D194" t="str">
        <f t="shared" si="30"/>
        <v>2009-01</v>
      </c>
      <c r="E194" s="2">
        <f>IF(MOD(ROW()-2,2)=0, INDEX('[1]2310008001-eng'!$B$13:$B$288, (ROW()-2)/2+1), INDEX('[1]2310008001-eng'!$C$13:$C$288, (ROW()-2)/2+1))*1000</f>
        <v>644490000</v>
      </c>
      <c r="F194" s="2">
        <f>IF(MOD(ROW()-2,2)=0, INDEX('[2]1710000901-eng'!$B$12:$B$73, INT((ROW()-2)/6)+1), INDEX('[2]1710000901-eng'!$C$12:$C$73, INT((ROW()-2)/6)+1))</f>
        <v>7799271</v>
      </c>
      <c r="G194">
        <f t="shared" si="31"/>
        <v>82.63464623809071</v>
      </c>
      <c r="H194">
        <v>1</v>
      </c>
      <c r="I194">
        <v>1</v>
      </c>
      <c r="J194">
        <f t="shared" si="46"/>
        <v>1</v>
      </c>
      <c r="K194">
        <f t="shared" si="33"/>
        <v>1</v>
      </c>
      <c r="L194">
        <f t="shared" si="34"/>
        <v>0</v>
      </c>
      <c r="M194">
        <f t="shared" si="35"/>
        <v>0</v>
      </c>
      <c r="N194">
        <f t="shared" si="36"/>
        <v>0</v>
      </c>
      <c r="O194">
        <f t="shared" si="37"/>
        <v>0</v>
      </c>
      <c r="P194">
        <f t="shared" si="38"/>
        <v>0</v>
      </c>
      <c r="Q194">
        <f t="shared" si="39"/>
        <v>0</v>
      </c>
      <c r="R194">
        <f t="shared" si="40"/>
        <v>0</v>
      </c>
      <c r="S194">
        <f t="shared" si="41"/>
        <v>0</v>
      </c>
      <c r="T194">
        <f t="shared" si="42"/>
        <v>0</v>
      </c>
      <c r="U194">
        <f t="shared" si="43"/>
        <v>0</v>
      </c>
      <c r="V194">
        <f t="shared" si="44"/>
        <v>0</v>
      </c>
    </row>
    <row r="195" spans="1:22" x14ac:dyDescent="0.3">
      <c r="A195" t="s">
        <v>22</v>
      </c>
      <c r="B195">
        <v>2009</v>
      </c>
      <c r="C195">
        <v>1</v>
      </c>
      <c r="D195" t="str">
        <f t="shared" ref="D195:D258" si="47">TEXT(DATE(B195,C195,1),"yyyy-mm")</f>
        <v>2009-01</v>
      </c>
      <c r="E195" s="2">
        <f>IF(MOD(ROW()-2,2)=0, INDEX('[1]2310008001-eng'!$B$13:$B$288, (ROW()-2)/2+1), INDEX('[1]2310008001-eng'!$C$13:$C$288, (ROW()-2)/2+1))*1000</f>
        <v>1263364000</v>
      </c>
      <c r="F195" s="2">
        <f>IF(MOD(ROW()-2,2)=0, INDEX('[2]1710000901-eng'!$B$12:$B$73, INT((ROW()-2)/6)+1), INDEX('[2]1710000901-eng'!$C$12:$C$73, INT((ROW()-2)/6)+1))</f>
        <v>12932742</v>
      </c>
      <c r="G195">
        <f t="shared" ref="G195:G258" si="48">E195/F195</f>
        <v>97.687249927354927</v>
      </c>
      <c r="H195">
        <v>0</v>
      </c>
      <c r="I195">
        <v>1</v>
      </c>
      <c r="J195">
        <f t="shared" si="46"/>
        <v>0</v>
      </c>
      <c r="K195">
        <f t="shared" ref="K195:K258" si="49">IF(C195=1,1,0)</f>
        <v>1</v>
      </c>
      <c r="L195">
        <f t="shared" ref="L195:L258" si="50">IF(C195=2,1,0)</f>
        <v>0</v>
      </c>
      <c r="M195">
        <f t="shared" ref="M195:M258" si="51">IF(C195=3,1,0)</f>
        <v>0</v>
      </c>
      <c r="N195">
        <f t="shared" ref="N195:N258" si="52">IF(C195=4,1,0)</f>
        <v>0</v>
      </c>
      <c r="O195">
        <f t="shared" ref="O195:O258" si="53">IF(C195=5,1,0)</f>
        <v>0</v>
      </c>
      <c r="P195">
        <f t="shared" ref="P195:P258" si="54">IF(C195=6,1,0)</f>
        <v>0</v>
      </c>
      <c r="Q195">
        <f t="shared" ref="Q195:Q258" si="55">IF(C195=7,1,0)</f>
        <v>0</v>
      </c>
      <c r="R195">
        <f t="shared" ref="R195:R258" si="56">IF(C195=8,1,0)</f>
        <v>0</v>
      </c>
      <c r="S195">
        <f t="shared" ref="S195:S258" si="57">IF(C195=9,1,0)</f>
        <v>0</v>
      </c>
      <c r="T195">
        <f t="shared" ref="T195:T258" si="58">IF(C195=10,1,0)</f>
        <v>0</v>
      </c>
      <c r="U195">
        <f t="shared" ref="U195:U258" si="59">IF(C195=11,1,0)</f>
        <v>0</v>
      </c>
      <c r="V195">
        <f t="shared" ref="V195:V258" si="60">IF(C195=12,1,0)</f>
        <v>0</v>
      </c>
    </row>
    <row r="196" spans="1:22" x14ac:dyDescent="0.3">
      <c r="A196" t="s">
        <v>7</v>
      </c>
      <c r="B196">
        <v>2009</v>
      </c>
      <c r="C196">
        <v>2</v>
      </c>
      <c r="D196" t="str">
        <f t="shared" si="47"/>
        <v>2009-02</v>
      </c>
      <c r="E196" s="2">
        <f>IF(MOD(ROW()-2,2)=0, INDEX('[1]2310008001-eng'!$B$13:$B$288, (ROW()-2)/2+1), INDEX('[1]2310008001-eng'!$C$13:$C$288, (ROW()-2)/2+1))*1000</f>
        <v>619708000</v>
      </c>
      <c r="F196" s="2">
        <f>IF(MOD(ROW()-2,2)=0, INDEX('[2]1710000901-eng'!$B$12:$B$73, INT((ROW()-2)/6)+1), INDEX('[2]1710000901-eng'!$C$12:$C$73, INT((ROW()-2)/6)+1))</f>
        <v>7799271</v>
      </c>
      <c r="G196">
        <f t="shared" si="48"/>
        <v>79.457169779072942</v>
      </c>
      <c r="H196">
        <v>1</v>
      </c>
      <c r="I196">
        <v>1</v>
      </c>
      <c r="J196">
        <f t="shared" si="46"/>
        <v>1</v>
      </c>
      <c r="K196">
        <f t="shared" si="49"/>
        <v>0</v>
      </c>
      <c r="L196">
        <f t="shared" si="50"/>
        <v>1</v>
      </c>
      <c r="M196">
        <f t="shared" si="51"/>
        <v>0</v>
      </c>
      <c r="N196">
        <f t="shared" si="52"/>
        <v>0</v>
      </c>
      <c r="O196">
        <f t="shared" si="53"/>
        <v>0</v>
      </c>
      <c r="P196">
        <f t="shared" si="54"/>
        <v>0</v>
      </c>
      <c r="Q196">
        <f t="shared" si="55"/>
        <v>0</v>
      </c>
      <c r="R196">
        <f t="shared" si="56"/>
        <v>0</v>
      </c>
      <c r="S196">
        <f t="shared" si="57"/>
        <v>0</v>
      </c>
      <c r="T196">
        <f t="shared" si="58"/>
        <v>0</v>
      </c>
      <c r="U196">
        <f t="shared" si="59"/>
        <v>0</v>
      </c>
      <c r="V196">
        <f t="shared" si="60"/>
        <v>0</v>
      </c>
    </row>
    <row r="197" spans="1:22" x14ac:dyDescent="0.3">
      <c r="A197" t="s">
        <v>22</v>
      </c>
      <c r="B197">
        <v>2009</v>
      </c>
      <c r="C197">
        <v>2</v>
      </c>
      <c r="D197" t="str">
        <f t="shared" si="47"/>
        <v>2009-02</v>
      </c>
      <c r="E197" s="2">
        <f>IF(MOD(ROW()-2,2)=0, INDEX('[1]2310008001-eng'!$B$13:$B$288, (ROW()-2)/2+1), INDEX('[1]2310008001-eng'!$C$13:$C$288, (ROW()-2)/2+1))*1000</f>
        <v>1162617000</v>
      </c>
      <c r="F197" s="2">
        <f>IF(MOD(ROW()-2,2)=0, INDEX('[2]1710000901-eng'!$B$12:$B$73, INT((ROW()-2)/6)+1), INDEX('[2]1710000901-eng'!$C$12:$C$73, INT((ROW()-2)/6)+1))</f>
        <v>12932742</v>
      </c>
      <c r="G197">
        <f t="shared" si="48"/>
        <v>89.897177257537493</v>
      </c>
      <c r="H197">
        <v>0</v>
      </c>
      <c r="I197">
        <v>1</v>
      </c>
      <c r="J197">
        <f t="shared" si="46"/>
        <v>0</v>
      </c>
      <c r="K197">
        <f t="shared" si="49"/>
        <v>0</v>
      </c>
      <c r="L197">
        <f t="shared" si="50"/>
        <v>1</v>
      </c>
      <c r="M197">
        <f t="shared" si="51"/>
        <v>0</v>
      </c>
      <c r="N197">
        <f t="shared" si="52"/>
        <v>0</v>
      </c>
      <c r="O197">
        <f t="shared" si="53"/>
        <v>0</v>
      </c>
      <c r="P197">
        <f t="shared" si="54"/>
        <v>0</v>
      </c>
      <c r="Q197">
        <f t="shared" si="55"/>
        <v>0</v>
      </c>
      <c r="R197">
        <f t="shared" si="56"/>
        <v>0</v>
      </c>
      <c r="S197">
        <f t="shared" si="57"/>
        <v>0</v>
      </c>
      <c r="T197">
        <f t="shared" si="58"/>
        <v>0</v>
      </c>
      <c r="U197">
        <f t="shared" si="59"/>
        <v>0</v>
      </c>
      <c r="V197">
        <f t="shared" si="60"/>
        <v>0</v>
      </c>
    </row>
    <row r="198" spans="1:22" x14ac:dyDescent="0.3">
      <c r="A198" t="s">
        <v>7</v>
      </c>
      <c r="B198">
        <v>2009</v>
      </c>
      <c r="C198">
        <v>3</v>
      </c>
      <c r="D198" t="str">
        <f t="shared" si="47"/>
        <v>2009-03</v>
      </c>
      <c r="E198" s="2">
        <f>IF(MOD(ROW()-2,2)=0, INDEX('[1]2310008001-eng'!$B$13:$B$288, (ROW()-2)/2+1), INDEX('[1]2310008001-eng'!$C$13:$C$288, (ROW()-2)/2+1))*1000</f>
        <v>654581000</v>
      </c>
      <c r="F198" s="2">
        <f>IF(MOD(ROW()-2,2)=0, INDEX('[2]1710000901-eng'!$B$12:$B$73, INT((ROW()-2)/6)+1), INDEX('[2]1710000901-eng'!$C$12:$C$73, INT((ROW()-2)/6)+1))</f>
        <v>7799271</v>
      </c>
      <c r="G198">
        <f t="shared" si="48"/>
        <v>83.928485110980247</v>
      </c>
      <c r="H198">
        <v>1</v>
      </c>
      <c r="I198">
        <v>1</v>
      </c>
      <c r="J198">
        <f t="shared" si="46"/>
        <v>1</v>
      </c>
      <c r="K198">
        <f t="shared" si="49"/>
        <v>0</v>
      </c>
      <c r="L198">
        <f t="shared" si="50"/>
        <v>0</v>
      </c>
      <c r="M198">
        <f t="shared" si="51"/>
        <v>1</v>
      </c>
      <c r="N198">
        <f t="shared" si="52"/>
        <v>0</v>
      </c>
      <c r="O198">
        <f t="shared" si="53"/>
        <v>0</v>
      </c>
      <c r="P198">
        <f t="shared" si="54"/>
        <v>0</v>
      </c>
      <c r="Q198">
        <f t="shared" si="55"/>
        <v>0</v>
      </c>
      <c r="R198">
        <f t="shared" si="56"/>
        <v>0</v>
      </c>
      <c r="S198">
        <f t="shared" si="57"/>
        <v>0</v>
      </c>
      <c r="T198">
        <f t="shared" si="58"/>
        <v>0</v>
      </c>
      <c r="U198">
        <f t="shared" si="59"/>
        <v>0</v>
      </c>
      <c r="V198">
        <f t="shared" si="60"/>
        <v>0</v>
      </c>
    </row>
    <row r="199" spans="1:22" x14ac:dyDescent="0.3">
      <c r="A199" t="s">
        <v>22</v>
      </c>
      <c r="B199">
        <v>2009</v>
      </c>
      <c r="C199">
        <v>3</v>
      </c>
      <c r="D199" t="str">
        <f t="shared" si="47"/>
        <v>2009-03</v>
      </c>
      <c r="E199" s="2">
        <f>IF(MOD(ROW()-2,2)=0, INDEX('[1]2310008001-eng'!$B$13:$B$288, (ROW()-2)/2+1), INDEX('[1]2310008001-eng'!$C$13:$C$288, (ROW()-2)/2+1))*1000</f>
        <v>1273800000</v>
      </c>
      <c r="F199" s="2">
        <f>IF(MOD(ROW()-2,2)=0, INDEX('[2]1710000901-eng'!$B$12:$B$73, INT((ROW()-2)/6)+1), INDEX('[2]1710000901-eng'!$C$12:$C$73, INT((ROW()-2)/6)+1))</f>
        <v>12932742</v>
      </c>
      <c r="G199">
        <f t="shared" si="48"/>
        <v>98.494194038665583</v>
      </c>
      <c r="H199">
        <v>0</v>
      </c>
      <c r="I199">
        <v>1</v>
      </c>
      <c r="J199">
        <f t="shared" si="46"/>
        <v>0</v>
      </c>
      <c r="K199">
        <f t="shared" si="49"/>
        <v>0</v>
      </c>
      <c r="L199">
        <f t="shared" si="50"/>
        <v>0</v>
      </c>
      <c r="M199">
        <f t="shared" si="51"/>
        <v>1</v>
      </c>
      <c r="N199">
        <f t="shared" si="52"/>
        <v>0</v>
      </c>
      <c r="O199">
        <f t="shared" si="53"/>
        <v>0</v>
      </c>
      <c r="P199">
        <f t="shared" si="54"/>
        <v>0</v>
      </c>
      <c r="Q199">
        <f t="shared" si="55"/>
        <v>0</v>
      </c>
      <c r="R199">
        <f t="shared" si="56"/>
        <v>0</v>
      </c>
      <c r="S199">
        <f t="shared" si="57"/>
        <v>0</v>
      </c>
      <c r="T199">
        <f t="shared" si="58"/>
        <v>0</v>
      </c>
      <c r="U199">
        <f t="shared" si="59"/>
        <v>0</v>
      </c>
      <c r="V199">
        <f t="shared" si="60"/>
        <v>0</v>
      </c>
    </row>
    <row r="200" spans="1:22" x14ac:dyDescent="0.3">
      <c r="A200" t="s">
        <v>7</v>
      </c>
      <c r="B200">
        <v>2009</v>
      </c>
      <c r="C200">
        <v>4</v>
      </c>
      <c r="D200" t="str">
        <f t="shared" si="47"/>
        <v>2009-04</v>
      </c>
      <c r="E200" s="2">
        <f>IF(MOD(ROW()-2,2)=0, INDEX('[1]2310008001-eng'!$B$13:$B$288, (ROW()-2)/2+1), INDEX('[1]2310008001-eng'!$C$13:$C$288, (ROW()-2)/2+1))*1000</f>
        <v>661738000</v>
      </c>
      <c r="F200" s="2">
        <f>IF(MOD(ROW()-2,2)=0, INDEX('[2]1710000901-eng'!$B$12:$B$73, INT((ROW()-2)/6)+1), INDEX('[2]1710000901-eng'!$C$12:$C$73, INT((ROW()-2)/6)+1))</f>
        <v>7817425</v>
      </c>
      <c r="G200">
        <f t="shared" si="48"/>
        <v>84.649101206599354</v>
      </c>
      <c r="H200">
        <v>1</v>
      </c>
      <c r="I200">
        <v>1</v>
      </c>
      <c r="J200">
        <f t="shared" si="46"/>
        <v>1</v>
      </c>
      <c r="K200">
        <f t="shared" si="49"/>
        <v>0</v>
      </c>
      <c r="L200">
        <f t="shared" si="50"/>
        <v>0</v>
      </c>
      <c r="M200">
        <f t="shared" si="51"/>
        <v>0</v>
      </c>
      <c r="N200">
        <f t="shared" si="52"/>
        <v>1</v>
      </c>
      <c r="O200">
        <f t="shared" si="53"/>
        <v>0</v>
      </c>
      <c r="P200">
        <f t="shared" si="54"/>
        <v>0</v>
      </c>
      <c r="Q200">
        <f t="shared" si="55"/>
        <v>0</v>
      </c>
      <c r="R200">
        <f t="shared" si="56"/>
        <v>0</v>
      </c>
      <c r="S200">
        <f t="shared" si="57"/>
        <v>0</v>
      </c>
      <c r="T200">
        <f t="shared" si="58"/>
        <v>0</v>
      </c>
      <c r="U200">
        <f t="shared" si="59"/>
        <v>0</v>
      </c>
      <c r="V200">
        <f t="shared" si="60"/>
        <v>0</v>
      </c>
    </row>
    <row r="201" spans="1:22" x14ac:dyDescent="0.3">
      <c r="A201" t="s">
        <v>22</v>
      </c>
      <c r="B201">
        <v>2009</v>
      </c>
      <c r="C201">
        <v>4</v>
      </c>
      <c r="D201" t="str">
        <f t="shared" si="47"/>
        <v>2009-04</v>
      </c>
      <c r="E201" s="2">
        <f>IF(MOD(ROW()-2,2)=0, INDEX('[1]2310008001-eng'!$B$13:$B$288, (ROW()-2)/2+1), INDEX('[1]2310008001-eng'!$C$13:$C$288, (ROW()-2)/2+1))*1000</f>
        <v>1265018000</v>
      </c>
      <c r="F201" s="2">
        <f>IF(MOD(ROW()-2,2)=0, INDEX('[2]1710000901-eng'!$B$12:$B$73, INT((ROW()-2)/6)+1), INDEX('[2]1710000901-eng'!$C$12:$C$73, INT((ROW()-2)/6)+1))</f>
        <v>12956924</v>
      </c>
      <c r="G201">
        <f t="shared" si="48"/>
        <v>97.632586252724792</v>
      </c>
      <c r="H201">
        <v>0</v>
      </c>
      <c r="I201">
        <v>1</v>
      </c>
      <c r="J201">
        <f t="shared" si="46"/>
        <v>0</v>
      </c>
      <c r="K201">
        <f t="shared" si="49"/>
        <v>0</v>
      </c>
      <c r="L201">
        <f t="shared" si="50"/>
        <v>0</v>
      </c>
      <c r="M201">
        <f t="shared" si="51"/>
        <v>0</v>
      </c>
      <c r="N201">
        <f t="shared" si="52"/>
        <v>1</v>
      </c>
      <c r="O201">
        <f t="shared" si="53"/>
        <v>0</v>
      </c>
      <c r="P201">
        <f t="shared" si="54"/>
        <v>0</v>
      </c>
      <c r="Q201">
        <f t="shared" si="55"/>
        <v>0</v>
      </c>
      <c r="R201">
        <f t="shared" si="56"/>
        <v>0</v>
      </c>
      <c r="S201">
        <f t="shared" si="57"/>
        <v>0</v>
      </c>
      <c r="T201">
        <f t="shared" si="58"/>
        <v>0</v>
      </c>
      <c r="U201">
        <f t="shared" si="59"/>
        <v>0</v>
      </c>
      <c r="V201">
        <f t="shared" si="60"/>
        <v>0</v>
      </c>
    </row>
    <row r="202" spans="1:22" x14ac:dyDescent="0.3">
      <c r="A202" t="s">
        <v>7</v>
      </c>
      <c r="B202">
        <v>2009</v>
      </c>
      <c r="C202">
        <v>5</v>
      </c>
      <c r="D202" t="str">
        <f t="shared" si="47"/>
        <v>2009-05</v>
      </c>
      <c r="E202" s="2">
        <f>IF(MOD(ROW()-2,2)=0, INDEX('[1]2310008001-eng'!$B$13:$B$288, (ROW()-2)/2+1), INDEX('[1]2310008001-eng'!$C$13:$C$288, (ROW()-2)/2+1))*1000</f>
        <v>678441000</v>
      </c>
      <c r="F202" s="2">
        <f>IF(MOD(ROW()-2,2)=0, INDEX('[2]1710000901-eng'!$B$12:$B$73, INT((ROW()-2)/6)+1), INDEX('[2]1710000901-eng'!$C$12:$C$73, INT((ROW()-2)/6)+1))</f>
        <v>7817425</v>
      </c>
      <c r="G202">
        <f t="shared" si="48"/>
        <v>86.785738270594223</v>
      </c>
      <c r="H202">
        <v>1</v>
      </c>
      <c r="I202">
        <v>1</v>
      </c>
      <c r="J202">
        <f t="shared" si="46"/>
        <v>1</v>
      </c>
      <c r="K202">
        <f t="shared" si="49"/>
        <v>0</v>
      </c>
      <c r="L202">
        <f t="shared" si="50"/>
        <v>0</v>
      </c>
      <c r="M202">
        <f t="shared" si="51"/>
        <v>0</v>
      </c>
      <c r="N202">
        <f t="shared" si="52"/>
        <v>0</v>
      </c>
      <c r="O202">
        <f t="shared" si="53"/>
        <v>1</v>
      </c>
      <c r="P202">
        <f t="shared" si="54"/>
        <v>0</v>
      </c>
      <c r="Q202">
        <f t="shared" si="55"/>
        <v>0</v>
      </c>
      <c r="R202">
        <f t="shared" si="56"/>
        <v>0</v>
      </c>
      <c r="S202">
        <f t="shared" si="57"/>
        <v>0</v>
      </c>
      <c r="T202">
        <f t="shared" si="58"/>
        <v>0</v>
      </c>
      <c r="U202">
        <f t="shared" si="59"/>
        <v>0</v>
      </c>
      <c r="V202">
        <f t="shared" si="60"/>
        <v>0</v>
      </c>
    </row>
    <row r="203" spans="1:22" x14ac:dyDescent="0.3">
      <c r="A203" t="s">
        <v>22</v>
      </c>
      <c r="B203">
        <v>2009</v>
      </c>
      <c r="C203">
        <v>5</v>
      </c>
      <c r="D203" t="str">
        <f t="shared" si="47"/>
        <v>2009-05</v>
      </c>
      <c r="E203" s="2">
        <f>IF(MOD(ROW()-2,2)=0, INDEX('[1]2310008001-eng'!$B$13:$B$288, (ROW()-2)/2+1), INDEX('[1]2310008001-eng'!$C$13:$C$288, (ROW()-2)/2+1))*1000</f>
        <v>1338762000</v>
      </c>
      <c r="F203" s="2">
        <f>IF(MOD(ROW()-2,2)=0, INDEX('[2]1710000901-eng'!$B$12:$B$73, INT((ROW()-2)/6)+1), INDEX('[2]1710000901-eng'!$C$12:$C$73, INT((ROW()-2)/6)+1))</f>
        <v>12956924</v>
      </c>
      <c r="G203">
        <f t="shared" si="48"/>
        <v>103.3240605563481</v>
      </c>
      <c r="H203">
        <v>0</v>
      </c>
      <c r="I203">
        <v>1</v>
      </c>
      <c r="J203">
        <f t="shared" si="46"/>
        <v>0</v>
      </c>
      <c r="K203">
        <f t="shared" si="49"/>
        <v>0</v>
      </c>
      <c r="L203">
        <f t="shared" si="50"/>
        <v>0</v>
      </c>
      <c r="M203">
        <f t="shared" si="51"/>
        <v>0</v>
      </c>
      <c r="N203">
        <f t="shared" si="52"/>
        <v>0</v>
      </c>
      <c r="O203">
        <f t="shared" si="53"/>
        <v>1</v>
      </c>
      <c r="P203">
        <f t="shared" si="54"/>
        <v>0</v>
      </c>
      <c r="Q203">
        <f t="shared" si="55"/>
        <v>0</v>
      </c>
      <c r="R203">
        <f t="shared" si="56"/>
        <v>0</v>
      </c>
      <c r="S203">
        <f t="shared" si="57"/>
        <v>0</v>
      </c>
      <c r="T203">
        <f t="shared" si="58"/>
        <v>0</v>
      </c>
      <c r="U203">
        <f t="shared" si="59"/>
        <v>0</v>
      </c>
      <c r="V203">
        <f t="shared" si="60"/>
        <v>0</v>
      </c>
    </row>
    <row r="204" spans="1:22" x14ac:dyDescent="0.3">
      <c r="A204" t="s">
        <v>7</v>
      </c>
      <c r="B204">
        <v>2009</v>
      </c>
      <c r="C204">
        <v>6</v>
      </c>
      <c r="D204" t="str">
        <f t="shared" si="47"/>
        <v>2009-06</v>
      </c>
      <c r="E204" s="2">
        <f>IF(MOD(ROW()-2,2)=0, INDEX('[1]2310008001-eng'!$B$13:$B$288, (ROW()-2)/2+1), INDEX('[1]2310008001-eng'!$C$13:$C$288, (ROW()-2)/2+1))*1000</f>
        <v>697581000</v>
      </c>
      <c r="F204" s="2">
        <f>IF(MOD(ROW()-2,2)=0, INDEX('[2]1710000901-eng'!$B$12:$B$73, INT((ROW()-2)/6)+1), INDEX('[2]1710000901-eng'!$C$12:$C$73, INT((ROW()-2)/6)+1))</f>
        <v>7817425</v>
      </c>
      <c r="G204">
        <f t="shared" si="48"/>
        <v>89.23411481402124</v>
      </c>
      <c r="H204">
        <v>1</v>
      </c>
      <c r="I204">
        <v>1</v>
      </c>
      <c r="J204">
        <f t="shared" si="46"/>
        <v>1</v>
      </c>
      <c r="K204">
        <f t="shared" si="49"/>
        <v>0</v>
      </c>
      <c r="L204">
        <f t="shared" si="50"/>
        <v>0</v>
      </c>
      <c r="M204">
        <f t="shared" si="51"/>
        <v>0</v>
      </c>
      <c r="N204">
        <f t="shared" si="52"/>
        <v>0</v>
      </c>
      <c r="O204">
        <f t="shared" si="53"/>
        <v>0</v>
      </c>
      <c r="P204">
        <f t="shared" si="54"/>
        <v>1</v>
      </c>
      <c r="Q204">
        <f t="shared" si="55"/>
        <v>0</v>
      </c>
      <c r="R204">
        <f t="shared" si="56"/>
        <v>0</v>
      </c>
      <c r="S204">
        <f t="shared" si="57"/>
        <v>0</v>
      </c>
      <c r="T204">
        <f t="shared" si="58"/>
        <v>0</v>
      </c>
      <c r="U204">
        <f t="shared" si="59"/>
        <v>0</v>
      </c>
      <c r="V204">
        <f t="shared" si="60"/>
        <v>0</v>
      </c>
    </row>
    <row r="205" spans="1:22" x14ac:dyDescent="0.3">
      <c r="A205" t="s">
        <v>22</v>
      </c>
      <c r="B205">
        <v>2009</v>
      </c>
      <c r="C205">
        <v>6</v>
      </c>
      <c r="D205" t="str">
        <f t="shared" si="47"/>
        <v>2009-06</v>
      </c>
      <c r="E205" s="2">
        <f>IF(MOD(ROW()-2,2)=0, INDEX('[1]2310008001-eng'!$B$13:$B$288, (ROW()-2)/2+1), INDEX('[1]2310008001-eng'!$C$13:$C$288, (ROW()-2)/2+1))*1000</f>
        <v>1343602000</v>
      </c>
      <c r="F205" s="2">
        <f>IF(MOD(ROW()-2,2)=0, INDEX('[2]1710000901-eng'!$B$12:$B$73, INT((ROW()-2)/6)+1), INDEX('[2]1710000901-eng'!$C$12:$C$73, INT((ROW()-2)/6)+1))</f>
        <v>12956924</v>
      </c>
      <c r="G205">
        <f t="shared" si="48"/>
        <v>103.69760600586991</v>
      </c>
      <c r="H205">
        <v>0</v>
      </c>
      <c r="I205">
        <v>1</v>
      </c>
      <c r="J205">
        <f t="shared" si="46"/>
        <v>0</v>
      </c>
      <c r="K205">
        <f t="shared" si="49"/>
        <v>0</v>
      </c>
      <c r="L205">
        <f t="shared" si="50"/>
        <v>0</v>
      </c>
      <c r="M205">
        <f t="shared" si="51"/>
        <v>0</v>
      </c>
      <c r="N205">
        <f t="shared" si="52"/>
        <v>0</v>
      </c>
      <c r="O205">
        <f t="shared" si="53"/>
        <v>0</v>
      </c>
      <c r="P205">
        <f t="shared" si="54"/>
        <v>1</v>
      </c>
      <c r="Q205">
        <f t="shared" si="55"/>
        <v>0</v>
      </c>
      <c r="R205">
        <f t="shared" si="56"/>
        <v>0</v>
      </c>
      <c r="S205">
        <f t="shared" si="57"/>
        <v>0</v>
      </c>
      <c r="T205">
        <f t="shared" si="58"/>
        <v>0</v>
      </c>
      <c r="U205">
        <f t="shared" si="59"/>
        <v>0</v>
      </c>
      <c r="V205">
        <f t="shared" si="60"/>
        <v>0</v>
      </c>
    </row>
    <row r="206" spans="1:22" x14ac:dyDescent="0.3">
      <c r="A206" t="s">
        <v>7</v>
      </c>
      <c r="B206">
        <v>2009</v>
      </c>
      <c r="C206">
        <v>7</v>
      </c>
      <c r="D206" t="str">
        <f t="shared" si="47"/>
        <v>2009-07</v>
      </c>
      <c r="E206" s="2">
        <f>IF(MOD(ROW()-2,2)=0, INDEX('[1]2310008001-eng'!$B$13:$B$288, (ROW()-2)/2+1), INDEX('[1]2310008001-eng'!$C$13:$C$288, (ROW()-2)/2+1))*1000</f>
        <v>738912000</v>
      </c>
      <c r="F206" s="2">
        <f>IF(MOD(ROW()-2,2)=0, INDEX('[2]1710000901-eng'!$B$12:$B$73, INT((ROW()-2)/6)+1), INDEX('[2]1710000901-eng'!$C$12:$C$73, INT((ROW()-2)/6)+1))</f>
        <v>7843915</v>
      </c>
      <c r="G206">
        <f t="shared" si="48"/>
        <v>94.201938700253635</v>
      </c>
      <c r="H206">
        <v>1</v>
      </c>
      <c r="I206">
        <v>1</v>
      </c>
      <c r="J206">
        <f t="shared" si="46"/>
        <v>1</v>
      </c>
      <c r="K206">
        <f t="shared" si="49"/>
        <v>0</v>
      </c>
      <c r="L206">
        <f t="shared" si="50"/>
        <v>0</v>
      </c>
      <c r="M206">
        <f t="shared" si="51"/>
        <v>0</v>
      </c>
      <c r="N206">
        <f t="shared" si="52"/>
        <v>0</v>
      </c>
      <c r="O206">
        <f t="shared" si="53"/>
        <v>0</v>
      </c>
      <c r="P206">
        <f t="shared" si="54"/>
        <v>0</v>
      </c>
      <c r="Q206">
        <f t="shared" si="55"/>
        <v>1</v>
      </c>
      <c r="R206">
        <f t="shared" si="56"/>
        <v>0</v>
      </c>
      <c r="S206">
        <f t="shared" si="57"/>
        <v>0</v>
      </c>
      <c r="T206">
        <f t="shared" si="58"/>
        <v>0</v>
      </c>
      <c r="U206">
        <f t="shared" si="59"/>
        <v>0</v>
      </c>
      <c r="V206">
        <f t="shared" si="60"/>
        <v>0</v>
      </c>
    </row>
    <row r="207" spans="1:22" x14ac:dyDescent="0.3">
      <c r="A207" t="s">
        <v>22</v>
      </c>
      <c r="B207">
        <v>2009</v>
      </c>
      <c r="C207">
        <v>7</v>
      </c>
      <c r="D207" t="str">
        <f t="shared" si="47"/>
        <v>2009-07</v>
      </c>
      <c r="E207" s="2">
        <f>IF(MOD(ROW()-2,2)=0, INDEX('[1]2310008001-eng'!$B$13:$B$288, (ROW()-2)/2+1), INDEX('[1]2310008001-eng'!$C$13:$C$288, (ROW()-2)/2+1))*1000</f>
        <v>1406887000</v>
      </c>
      <c r="F207" s="2">
        <f>IF(MOD(ROW()-2,2)=0, INDEX('[2]1710000901-eng'!$B$12:$B$73, INT((ROW()-2)/6)+1), INDEX('[2]1710000901-eng'!$C$12:$C$73, INT((ROW()-2)/6)+1))</f>
        <v>12998941</v>
      </c>
      <c r="G207">
        <f t="shared" si="48"/>
        <v>108.23089357817688</v>
      </c>
      <c r="H207">
        <v>0</v>
      </c>
      <c r="I207">
        <v>1</v>
      </c>
      <c r="J207">
        <f t="shared" si="46"/>
        <v>0</v>
      </c>
      <c r="K207">
        <f t="shared" si="49"/>
        <v>0</v>
      </c>
      <c r="L207">
        <f t="shared" si="50"/>
        <v>0</v>
      </c>
      <c r="M207">
        <f t="shared" si="51"/>
        <v>0</v>
      </c>
      <c r="N207">
        <f t="shared" si="52"/>
        <v>0</v>
      </c>
      <c r="O207">
        <f t="shared" si="53"/>
        <v>0</v>
      </c>
      <c r="P207">
        <f t="shared" si="54"/>
        <v>0</v>
      </c>
      <c r="Q207">
        <f t="shared" si="55"/>
        <v>1</v>
      </c>
      <c r="R207">
        <f t="shared" si="56"/>
        <v>0</v>
      </c>
      <c r="S207">
        <f t="shared" si="57"/>
        <v>0</v>
      </c>
      <c r="T207">
        <f t="shared" si="58"/>
        <v>0</v>
      </c>
      <c r="U207">
        <f t="shared" si="59"/>
        <v>0</v>
      </c>
      <c r="V207">
        <f t="shared" si="60"/>
        <v>0</v>
      </c>
    </row>
    <row r="208" spans="1:22" x14ac:dyDescent="0.3">
      <c r="A208" t="s">
        <v>7</v>
      </c>
      <c r="B208">
        <v>2009</v>
      </c>
      <c r="C208">
        <v>8</v>
      </c>
      <c r="D208" t="str">
        <f t="shared" si="47"/>
        <v>2009-08</v>
      </c>
      <c r="E208" s="2">
        <f>IF(MOD(ROW()-2,2)=0, INDEX('[1]2310008001-eng'!$B$13:$B$288, (ROW()-2)/2+1), INDEX('[1]2310008001-eng'!$C$13:$C$288, (ROW()-2)/2+1))*1000</f>
        <v>718381000</v>
      </c>
      <c r="F208" s="2">
        <f>IF(MOD(ROW()-2,2)=0, INDEX('[2]1710000901-eng'!$B$12:$B$73, INT((ROW()-2)/6)+1), INDEX('[2]1710000901-eng'!$C$12:$C$73, INT((ROW()-2)/6)+1))</f>
        <v>7843915</v>
      </c>
      <c r="G208">
        <f t="shared" si="48"/>
        <v>91.584495752439949</v>
      </c>
      <c r="H208">
        <v>1</v>
      </c>
      <c r="I208">
        <v>1</v>
      </c>
      <c r="J208">
        <f t="shared" si="46"/>
        <v>1</v>
      </c>
      <c r="K208">
        <f t="shared" si="49"/>
        <v>0</v>
      </c>
      <c r="L208">
        <f t="shared" si="50"/>
        <v>0</v>
      </c>
      <c r="M208">
        <f t="shared" si="51"/>
        <v>0</v>
      </c>
      <c r="N208">
        <f t="shared" si="52"/>
        <v>0</v>
      </c>
      <c r="O208">
        <f t="shared" si="53"/>
        <v>0</v>
      </c>
      <c r="P208">
        <f t="shared" si="54"/>
        <v>0</v>
      </c>
      <c r="Q208">
        <f t="shared" si="55"/>
        <v>0</v>
      </c>
      <c r="R208">
        <f t="shared" si="56"/>
        <v>1</v>
      </c>
      <c r="S208">
        <f t="shared" si="57"/>
        <v>0</v>
      </c>
      <c r="T208">
        <f t="shared" si="58"/>
        <v>0</v>
      </c>
      <c r="U208">
        <f t="shared" si="59"/>
        <v>0</v>
      </c>
      <c r="V208">
        <f t="shared" si="60"/>
        <v>0</v>
      </c>
    </row>
    <row r="209" spans="1:22" x14ac:dyDescent="0.3">
      <c r="A209" t="s">
        <v>22</v>
      </c>
      <c r="B209">
        <v>2009</v>
      </c>
      <c r="C209">
        <v>8</v>
      </c>
      <c r="D209" t="str">
        <f t="shared" si="47"/>
        <v>2009-08</v>
      </c>
      <c r="E209" s="2">
        <f>IF(MOD(ROW()-2,2)=0, INDEX('[1]2310008001-eng'!$B$13:$B$288, (ROW()-2)/2+1), INDEX('[1]2310008001-eng'!$C$13:$C$288, (ROW()-2)/2+1))*1000</f>
        <v>1362211000</v>
      </c>
      <c r="F209" s="2">
        <f>IF(MOD(ROW()-2,2)=0, INDEX('[2]1710000901-eng'!$B$12:$B$73, INT((ROW()-2)/6)+1), INDEX('[2]1710000901-eng'!$C$12:$C$73, INT((ROW()-2)/6)+1))</f>
        <v>12998941</v>
      </c>
      <c r="G209">
        <f t="shared" si="48"/>
        <v>104.79399821877797</v>
      </c>
      <c r="H209">
        <v>0</v>
      </c>
      <c r="I209">
        <v>1</v>
      </c>
      <c r="J209">
        <f t="shared" si="46"/>
        <v>0</v>
      </c>
      <c r="K209">
        <f t="shared" si="49"/>
        <v>0</v>
      </c>
      <c r="L209">
        <f t="shared" si="50"/>
        <v>0</v>
      </c>
      <c r="M209">
        <f t="shared" si="51"/>
        <v>0</v>
      </c>
      <c r="N209">
        <f t="shared" si="52"/>
        <v>0</v>
      </c>
      <c r="O209">
        <f t="shared" si="53"/>
        <v>0</v>
      </c>
      <c r="P209">
        <f t="shared" si="54"/>
        <v>0</v>
      </c>
      <c r="Q209">
        <f t="shared" si="55"/>
        <v>0</v>
      </c>
      <c r="R209">
        <f t="shared" si="56"/>
        <v>1</v>
      </c>
      <c r="S209">
        <f t="shared" si="57"/>
        <v>0</v>
      </c>
      <c r="T209">
        <f t="shared" si="58"/>
        <v>0</v>
      </c>
      <c r="U209">
        <f t="shared" si="59"/>
        <v>0</v>
      </c>
      <c r="V209">
        <f t="shared" si="60"/>
        <v>0</v>
      </c>
    </row>
    <row r="210" spans="1:22" x14ac:dyDescent="0.3">
      <c r="A210" t="s">
        <v>7</v>
      </c>
      <c r="B210">
        <v>2009</v>
      </c>
      <c r="C210">
        <v>9</v>
      </c>
      <c r="D210" t="str">
        <f t="shared" si="47"/>
        <v>2009-09</v>
      </c>
      <c r="E210" s="2">
        <f>IF(MOD(ROW()-2,2)=0, INDEX('[1]2310008001-eng'!$B$13:$B$288, (ROW()-2)/2+1), INDEX('[1]2310008001-eng'!$C$13:$C$288, (ROW()-2)/2+1))*1000</f>
        <v>699878000</v>
      </c>
      <c r="F210" s="2">
        <f>IF(MOD(ROW()-2,2)=0, INDEX('[2]1710000901-eng'!$B$12:$B$73, INT((ROW()-2)/6)+1), INDEX('[2]1710000901-eng'!$C$12:$C$73, INT((ROW()-2)/6)+1))</f>
        <v>7843915</v>
      </c>
      <c r="G210">
        <f t="shared" si="48"/>
        <v>89.225597166720959</v>
      </c>
      <c r="H210">
        <v>1</v>
      </c>
      <c r="I210">
        <v>1</v>
      </c>
      <c r="J210">
        <f t="shared" si="46"/>
        <v>1</v>
      </c>
      <c r="K210">
        <f t="shared" si="49"/>
        <v>0</v>
      </c>
      <c r="L210">
        <f t="shared" si="50"/>
        <v>0</v>
      </c>
      <c r="M210">
        <f t="shared" si="51"/>
        <v>0</v>
      </c>
      <c r="N210">
        <f t="shared" si="52"/>
        <v>0</v>
      </c>
      <c r="O210">
        <f t="shared" si="53"/>
        <v>0</v>
      </c>
      <c r="P210">
        <f t="shared" si="54"/>
        <v>0</v>
      </c>
      <c r="Q210">
        <f t="shared" si="55"/>
        <v>0</v>
      </c>
      <c r="R210">
        <f t="shared" si="56"/>
        <v>0</v>
      </c>
      <c r="S210">
        <f t="shared" si="57"/>
        <v>1</v>
      </c>
      <c r="T210">
        <f t="shared" si="58"/>
        <v>0</v>
      </c>
      <c r="U210">
        <f t="shared" si="59"/>
        <v>0</v>
      </c>
      <c r="V210">
        <f t="shared" si="60"/>
        <v>0</v>
      </c>
    </row>
    <row r="211" spans="1:22" x14ac:dyDescent="0.3">
      <c r="A211" t="s">
        <v>22</v>
      </c>
      <c r="B211">
        <v>2009</v>
      </c>
      <c r="C211">
        <v>9</v>
      </c>
      <c r="D211" t="str">
        <f t="shared" si="47"/>
        <v>2009-09</v>
      </c>
      <c r="E211" s="2">
        <f>IF(MOD(ROW()-2,2)=0, INDEX('[1]2310008001-eng'!$B$13:$B$288, (ROW()-2)/2+1), INDEX('[1]2310008001-eng'!$C$13:$C$288, (ROW()-2)/2+1))*1000</f>
        <v>1334121000</v>
      </c>
      <c r="F211" s="2">
        <f>IF(MOD(ROW()-2,2)=0, INDEX('[2]1710000901-eng'!$B$12:$B$73, INT((ROW()-2)/6)+1), INDEX('[2]1710000901-eng'!$C$12:$C$73, INT((ROW()-2)/6)+1))</f>
        <v>12998941</v>
      </c>
      <c r="G211">
        <f t="shared" si="48"/>
        <v>102.63305295408296</v>
      </c>
      <c r="H211">
        <v>0</v>
      </c>
      <c r="I211">
        <v>1</v>
      </c>
      <c r="J211">
        <f t="shared" si="46"/>
        <v>0</v>
      </c>
      <c r="K211">
        <f t="shared" si="49"/>
        <v>0</v>
      </c>
      <c r="L211">
        <f t="shared" si="50"/>
        <v>0</v>
      </c>
      <c r="M211">
        <f t="shared" si="51"/>
        <v>0</v>
      </c>
      <c r="N211">
        <f t="shared" si="52"/>
        <v>0</v>
      </c>
      <c r="O211">
        <f t="shared" si="53"/>
        <v>0</v>
      </c>
      <c r="P211">
        <f t="shared" si="54"/>
        <v>0</v>
      </c>
      <c r="Q211">
        <f t="shared" si="55"/>
        <v>0</v>
      </c>
      <c r="R211">
        <f t="shared" si="56"/>
        <v>0</v>
      </c>
      <c r="S211">
        <f t="shared" si="57"/>
        <v>1</v>
      </c>
      <c r="T211">
        <f t="shared" si="58"/>
        <v>0</v>
      </c>
      <c r="U211">
        <f t="shared" si="59"/>
        <v>0</v>
      </c>
      <c r="V211">
        <f t="shared" si="60"/>
        <v>0</v>
      </c>
    </row>
    <row r="212" spans="1:22" x14ac:dyDescent="0.3">
      <c r="A212" t="s">
        <v>7</v>
      </c>
      <c r="B212">
        <v>2009</v>
      </c>
      <c r="C212">
        <v>10</v>
      </c>
      <c r="D212" t="str">
        <f t="shared" si="47"/>
        <v>2009-10</v>
      </c>
      <c r="E212" s="2">
        <f>IF(MOD(ROW()-2,2)=0, INDEX('[1]2310008001-eng'!$B$13:$B$288, (ROW()-2)/2+1), INDEX('[1]2310008001-eng'!$C$13:$C$288, (ROW()-2)/2+1))*1000</f>
        <v>700150000</v>
      </c>
      <c r="F212" s="2">
        <f>IF(MOD(ROW()-2,2)=0, INDEX('[2]1710000901-eng'!$B$12:$B$73, INT((ROW()-2)/6)+1), INDEX('[2]1710000901-eng'!$C$12:$C$73, INT((ROW()-2)/6)+1))</f>
        <v>7871847</v>
      </c>
      <c r="G212">
        <f t="shared" si="48"/>
        <v>88.943547810316943</v>
      </c>
      <c r="H212">
        <v>1</v>
      </c>
      <c r="I212">
        <v>1</v>
      </c>
      <c r="J212">
        <f t="shared" si="46"/>
        <v>1</v>
      </c>
      <c r="K212">
        <f t="shared" si="49"/>
        <v>0</v>
      </c>
      <c r="L212">
        <f t="shared" si="50"/>
        <v>0</v>
      </c>
      <c r="M212">
        <f t="shared" si="51"/>
        <v>0</v>
      </c>
      <c r="N212">
        <f t="shared" si="52"/>
        <v>0</v>
      </c>
      <c r="O212">
        <f t="shared" si="53"/>
        <v>0</v>
      </c>
      <c r="P212">
        <f t="shared" si="54"/>
        <v>0</v>
      </c>
      <c r="Q212">
        <f t="shared" si="55"/>
        <v>0</v>
      </c>
      <c r="R212">
        <f t="shared" si="56"/>
        <v>0</v>
      </c>
      <c r="S212">
        <f t="shared" si="57"/>
        <v>0</v>
      </c>
      <c r="T212">
        <f t="shared" si="58"/>
        <v>1</v>
      </c>
      <c r="U212">
        <f t="shared" si="59"/>
        <v>0</v>
      </c>
      <c r="V212">
        <f t="shared" si="60"/>
        <v>0</v>
      </c>
    </row>
    <row r="213" spans="1:22" x14ac:dyDescent="0.3">
      <c r="A213" t="s">
        <v>22</v>
      </c>
      <c r="B213">
        <v>2009</v>
      </c>
      <c r="C213">
        <v>10</v>
      </c>
      <c r="D213" t="str">
        <f t="shared" si="47"/>
        <v>2009-10</v>
      </c>
      <c r="E213" s="2">
        <f>IF(MOD(ROW()-2,2)=0, INDEX('[1]2310008001-eng'!$B$13:$B$288, (ROW()-2)/2+1), INDEX('[1]2310008001-eng'!$C$13:$C$288, (ROW()-2)/2+1))*1000</f>
        <v>1330722000</v>
      </c>
      <c r="F213" s="2">
        <f>IF(MOD(ROW()-2,2)=0, INDEX('[2]1710000901-eng'!$B$12:$B$73, INT((ROW()-2)/6)+1), INDEX('[2]1710000901-eng'!$C$12:$C$73, INT((ROW()-2)/6)+1))</f>
        <v>13048442</v>
      </c>
      <c r="G213">
        <f t="shared" si="48"/>
        <v>101.98320994950969</v>
      </c>
      <c r="H213">
        <v>0</v>
      </c>
      <c r="I213">
        <v>1</v>
      </c>
      <c r="J213">
        <f t="shared" si="46"/>
        <v>0</v>
      </c>
      <c r="K213">
        <f t="shared" si="49"/>
        <v>0</v>
      </c>
      <c r="L213">
        <f t="shared" si="50"/>
        <v>0</v>
      </c>
      <c r="M213">
        <f t="shared" si="51"/>
        <v>0</v>
      </c>
      <c r="N213">
        <f t="shared" si="52"/>
        <v>0</v>
      </c>
      <c r="O213">
        <f t="shared" si="53"/>
        <v>0</v>
      </c>
      <c r="P213">
        <f t="shared" si="54"/>
        <v>0</v>
      </c>
      <c r="Q213">
        <f t="shared" si="55"/>
        <v>0</v>
      </c>
      <c r="R213">
        <f t="shared" si="56"/>
        <v>0</v>
      </c>
      <c r="S213">
        <f t="shared" si="57"/>
        <v>0</v>
      </c>
      <c r="T213">
        <f t="shared" si="58"/>
        <v>1</v>
      </c>
      <c r="U213">
        <f t="shared" si="59"/>
        <v>0</v>
      </c>
      <c r="V213">
        <f t="shared" si="60"/>
        <v>0</v>
      </c>
    </row>
    <row r="214" spans="1:22" x14ac:dyDescent="0.3">
      <c r="A214" t="s">
        <v>7</v>
      </c>
      <c r="B214">
        <v>2009</v>
      </c>
      <c r="C214">
        <v>11</v>
      </c>
      <c r="D214" t="str">
        <f t="shared" si="47"/>
        <v>2009-11</v>
      </c>
      <c r="E214" s="2">
        <f>IF(MOD(ROW()-2,2)=0, INDEX('[1]2310008001-eng'!$B$13:$B$288, (ROW()-2)/2+1), INDEX('[1]2310008001-eng'!$C$13:$C$288, (ROW()-2)/2+1))*1000</f>
        <v>654007000</v>
      </c>
      <c r="F214" s="2">
        <f>IF(MOD(ROW()-2,2)=0, INDEX('[2]1710000901-eng'!$B$12:$B$73, INT((ROW()-2)/6)+1), INDEX('[2]1710000901-eng'!$C$12:$C$73, INT((ROW()-2)/6)+1))</f>
        <v>7871847</v>
      </c>
      <c r="G214">
        <f t="shared" si="48"/>
        <v>83.081772295625157</v>
      </c>
      <c r="H214">
        <v>1</v>
      </c>
      <c r="I214">
        <v>1</v>
      </c>
      <c r="J214">
        <f t="shared" si="46"/>
        <v>1</v>
      </c>
      <c r="K214">
        <f t="shared" si="49"/>
        <v>0</v>
      </c>
      <c r="L214">
        <f t="shared" si="50"/>
        <v>0</v>
      </c>
      <c r="M214">
        <f t="shared" si="51"/>
        <v>0</v>
      </c>
      <c r="N214">
        <f t="shared" si="52"/>
        <v>0</v>
      </c>
      <c r="O214">
        <f t="shared" si="53"/>
        <v>0</v>
      </c>
      <c r="P214">
        <f t="shared" si="54"/>
        <v>0</v>
      </c>
      <c r="Q214">
        <f t="shared" si="55"/>
        <v>0</v>
      </c>
      <c r="R214">
        <f t="shared" si="56"/>
        <v>0</v>
      </c>
      <c r="S214">
        <f t="shared" si="57"/>
        <v>0</v>
      </c>
      <c r="T214">
        <f t="shared" si="58"/>
        <v>0</v>
      </c>
      <c r="U214">
        <f t="shared" si="59"/>
        <v>1</v>
      </c>
      <c r="V214">
        <f t="shared" si="60"/>
        <v>0</v>
      </c>
    </row>
    <row r="215" spans="1:22" x14ac:dyDescent="0.3">
      <c r="A215" t="s">
        <v>22</v>
      </c>
      <c r="B215">
        <v>2009</v>
      </c>
      <c r="C215">
        <v>11</v>
      </c>
      <c r="D215" t="str">
        <f t="shared" si="47"/>
        <v>2009-11</v>
      </c>
      <c r="E215" s="2">
        <f>IF(MOD(ROW()-2,2)=0, INDEX('[1]2310008001-eng'!$B$13:$B$288, (ROW()-2)/2+1), INDEX('[1]2310008001-eng'!$C$13:$C$288, (ROW()-2)/2+1))*1000</f>
        <v>1276724000</v>
      </c>
      <c r="F215" s="2">
        <f>IF(MOD(ROW()-2,2)=0, INDEX('[2]1710000901-eng'!$B$12:$B$73, INT((ROW()-2)/6)+1), INDEX('[2]1710000901-eng'!$C$12:$C$73, INT((ROW()-2)/6)+1))</f>
        <v>13048442</v>
      </c>
      <c r="G215">
        <f t="shared" si="48"/>
        <v>97.844938115983496</v>
      </c>
      <c r="H215">
        <v>0</v>
      </c>
      <c r="I215">
        <v>1</v>
      </c>
      <c r="J215">
        <f t="shared" si="46"/>
        <v>0</v>
      </c>
      <c r="K215">
        <f t="shared" si="49"/>
        <v>0</v>
      </c>
      <c r="L215">
        <f t="shared" si="50"/>
        <v>0</v>
      </c>
      <c r="M215">
        <f t="shared" si="51"/>
        <v>0</v>
      </c>
      <c r="N215">
        <f t="shared" si="52"/>
        <v>0</v>
      </c>
      <c r="O215">
        <f t="shared" si="53"/>
        <v>0</v>
      </c>
      <c r="P215">
        <f t="shared" si="54"/>
        <v>0</v>
      </c>
      <c r="Q215">
        <f t="shared" si="55"/>
        <v>0</v>
      </c>
      <c r="R215">
        <f t="shared" si="56"/>
        <v>0</v>
      </c>
      <c r="S215">
        <f t="shared" si="57"/>
        <v>0</v>
      </c>
      <c r="T215">
        <f t="shared" si="58"/>
        <v>0</v>
      </c>
      <c r="U215">
        <f t="shared" si="59"/>
        <v>1</v>
      </c>
      <c r="V215">
        <f t="shared" si="60"/>
        <v>0</v>
      </c>
    </row>
    <row r="216" spans="1:22" x14ac:dyDescent="0.3">
      <c r="A216" t="s">
        <v>7</v>
      </c>
      <c r="B216">
        <v>2009</v>
      </c>
      <c r="C216">
        <v>12</v>
      </c>
      <c r="D216" t="str">
        <f t="shared" si="47"/>
        <v>2009-12</v>
      </c>
      <c r="E216" s="2">
        <f>IF(MOD(ROW()-2,2)=0, INDEX('[1]2310008001-eng'!$B$13:$B$288, (ROW()-2)/2+1), INDEX('[1]2310008001-eng'!$C$13:$C$288, (ROW()-2)/2+1))*1000</f>
        <v>643128000</v>
      </c>
      <c r="F216" s="2">
        <f>IF(MOD(ROW()-2,2)=0, INDEX('[2]1710000901-eng'!$B$12:$B$73, INT((ROW()-2)/6)+1), INDEX('[2]1710000901-eng'!$C$12:$C$73, INT((ROW()-2)/6)+1))</f>
        <v>7871847</v>
      </c>
      <c r="G216">
        <f t="shared" si="48"/>
        <v>81.699758646223685</v>
      </c>
      <c r="H216">
        <v>1</v>
      </c>
      <c r="I216">
        <v>1</v>
      </c>
      <c r="J216">
        <f t="shared" si="46"/>
        <v>1</v>
      </c>
      <c r="K216">
        <f t="shared" si="49"/>
        <v>0</v>
      </c>
      <c r="L216">
        <f t="shared" si="50"/>
        <v>0</v>
      </c>
      <c r="M216">
        <f t="shared" si="51"/>
        <v>0</v>
      </c>
      <c r="N216">
        <f t="shared" si="52"/>
        <v>0</v>
      </c>
      <c r="O216">
        <f t="shared" si="53"/>
        <v>0</v>
      </c>
      <c r="P216">
        <f t="shared" si="54"/>
        <v>0</v>
      </c>
      <c r="Q216">
        <f t="shared" si="55"/>
        <v>0</v>
      </c>
      <c r="R216">
        <f t="shared" si="56"/>
        <v>0</v>
      </c>
      <c r="S216">
        <f t="shared" si="57"/>
        <v>0</v>
      </c>
      <c r="T216">
        <f t="shared" si="58"/>
        <v>0</v>
      </c>
      <c r="U216">
        <f t="shared" si="59"/>
        <v>0</v>
      </c>
      <c r="V216">
        <f t="shared" si="60"/>
        <v>1</v>
      </c>
    </row>
    <row r="217" spans="1:22" x14ac:dyDescent="0.3">
      <c r="A217" t="s">
        <v>22</v>
      </c>
      <c r="B217">
        <v>2009</v>
      </c>
      <c r="C217">
        <v>12</v>
      </c>
      <c r="D217" t="str">
        <f t="shared" si="47"/>
        <v>2009-12</v>
      </c>
      <c r="E217" s="2">
        <f>IF(MOD(ROW()-2,2)=0, INDEX('[1]2310008001-eng'!$B$13:$B$288, (ROW()-2)/2+1), INDEX('[1]2310008001-eng'!$C$13:$C$288, (ROW()-2)/2+1))*1000</f>
        <v>1341842000</v>
      </c>
      <c r="F217" s="2">
        <f>IF(MOD(ROW()-2,2)=0, INDEX('[2]1710000901-eng'!$B$12:$B$73, INT((ROW()-2)/6)+1), INDEX('[2]1710000901-eng'!$C$12:$C$73, INT((ROW()-2)/6)+1))</f>
        <v>13048442</v>
      </c>
      <c r="G217">
        <f t="shared" si="48"/>
        <v>102.83541897185886</v>
      </c>
      <c r="H217">
        <v>0</v>
      </c>
      <c r="I217">
        <v>1</v>
      </c>
      <c r="J217">
        <f t="shared" si="46"/>
        <v>0</v>
      </c>
      <c r="K217">
        <f t="shared" si="49"/>
        <v>0</v>
      </c>
      <c r="L217">
        <f t="shared" si="50"/>
        <v>0</v>
      </c>
      <c r="M217">
        <f t="shared" si="51"/>
        <v>0</v>
      </c>
      <c r="N217">
        <f t="shared" si="52"/>
        <v>0</v>
      </c>
      <c r="O217">
        <f t="shared" si="53"/>
        <v>0</v>
      </c>
      <c r="P217">
        <f t="shared" si="54"/>
        <v>0</v>
      </c>
      <c r="Q217">
        <f t="shared" si="55"/>
        <v>0</v>
      </c>
      <c r="R217">
        <f t="shared" si="56"/>
        <v>0</v>
      </c>
      <c r="S217">
        <f t="shared" si="57"/>
        <v>0</v>
      </c>
      <c r="T217">
        <f t="shared" si="58"/>
        <v>0</v>
      </c>
      <c r="U217">
        <f t="shared" si="59"/>
        <v>0</v>
      </c>
      <c r="V217">
        <f t="shared" si="60"/>
        <v>1</v>
      </c>
    </row>
    <row r="218" spans="1:22" x14ac:dyDescent="0.3">
      <c r="A218" t="s">
        <v>7</v>
      </c>
      <c r="B218">
        <v>2010</v>
      </c>
      <c r="C218">
        <v>1</v>
      </c>
      <c r="D218" t="str">
        <f t="shared" si="47"/>
        <v>2010-01</v>
      </c>
      <c r="E218" s="2">
        <f>IF(MOD(ROW()-2,2)=0, INDEX('[1]2310008001-eng'!$B$13:$B$288, (ROW()-2)/2+1), INDEX('[1]2310008001-eng'!$C$13:$C$288, (ROW()-2)/2+1))*1000</f>
        <v>661528000</v>
      </c>
      <c r="F218" s="2">
        <f>IF(MOD(ROW()-2,2)=0, INDEX('[2]1710000901-eng'!$B$12:$B$73, INT((ROW()-2)/6)+1), INDEX('[2]1710000901-eng'!$C$12:$C$73, INT((ROW()-2)/6)+1))</f>
        <v>7886127</v>
      </c>
      <c r="G218">
        <f t="shared" si="48"/>
        <v>83.885030002687003</v>
      </c>
      <c r="H218">
        <v>1</v>
      </c>
      <c r="I218">
        <v>1</v>
      </c>
      <c r="J218">
        <f t="shared" si="46"/>
        <v>1</v>
      </c>
      <c r="K218">
        <f t="shared" si="49"/>
        <v>1</v>
      </c>
      <c r="L218">
        <f t="shared" si="50"/>
        <v>0</v>
      </c>
      <c r="M218">
        <f t="shared" si="51"/>
        <v>0</v>
      </c>
      <c r="N218">
        <f t="shared" si="52"/>
        <v>0</v>
      </c>
      <c r="O218">
        <f t="shared" si="53"/>
        <v>0</v>
      </c>
      <c r="P218">
        <f t="shared" si="54"/>
        <v>0</v>
      </c>
      <c r="Q218">
        <f t="shared" si="55"/>
        <v>0</v>
      </c>
      <c r="R218">
        <f t="shared" si="56"/>
        <v>0</v>
      </c>
      <c r="S218">
        <f t="shared" si="57"/>
        <v>0</v>
      </c>
      <c r="T218">
        <f t="shared" si="58"/>
        <v>0</v>
      </c>
      <c r="U218">
        <f t="shared" si="59"/>
        <v>0</v>
      </c>
      <c r="V218">
        <f t="shared" si="60"/>
        <v>0</v>
      </c>
    </row>
    <row r="219" spans="1:22" x14ac:dyDescent="0.3">
      <c r="A219" t="s">
        <v>22</v>
      </c>
      <c r="B219">
        <v>2010</v>
      </c>
      <c r="C219">
        <v>1</v>
      </c>
      <c r="D219" t="str">
        <f t="shared" si="47"/>
        <v>2010-01</v>
      </c>
      <c r="E219" s="2">
        <f>IF(MOD(ROW()-2,2)=0, INDEX('[1]2310008001-eng'!$B$13:$B$288, (ROW()-2)/2+1), INDEX('[1]2310008001-eng'!$C$13:$C$288, (ROW()-2)/2+1))*1000</f>
        <v>1218735000</v>
      </c>
      <c r="F219" s="2">
        <f>IF(MOD(ROW()-2,2)=0, INDEX('[2]1710000901-eng'!$B$12:$B$73, INT((ROW()-2)/6)+1), INDEX('[2]1710000901-eng'!$C$12:$C$73, INT((ROW()-2)/6)+1))</f>
        <v>13059426</v>
      </c>
      <c r="G219">
        <f t="shared" si="48"/>
        <v>93.322248619502872</v>
      </c>
      <c r="H219">
        <v>0</v>
      </c>
      <c r="I219">
        <v>1</v>
      </c>
      <c r="J219">
        <f t="shared" si="46"/>
        <v>0</v>
      </c>
      <c r="K219">
        <f t="shared" si="49"/>
        <v>1</v>
      </c>
      <c r="L219">
        <f t="shared" si="50"/>
        <v>0</v>
      </c>
      <c r="M219">
        <f t="shared" si="51"/>
        <v>0</v>
      </c>
      <c r="N219">
        <f t="shared" si="52"/>
        <v>0</v>
      </c>
      <c r="O219">
        <f t="shared" si="53"/>
        <v>0</v>
      </c>
      <c r="P219">
        <f t="shared" si="54"/>
        <v>0</v>
      </c>
      <c r="Q219">
        <f t="shared" si="55"/>
        <v>0</v>
      </c>
      <c r="R219">
        <f t="shared" si="56"/>
        <v>0</v>
      </c>
      <c r="S219">
        <f t="shared" si="57"/>
        <v>0</v>
      </c>
      <c r="T219">
        <f t="shared" si="58"/>
        <v>0</v>
      </c>
      <c r="U219">
        <f t="shared" si="59"/>
        <v>0</v>
      </c>
      <c r="V219">
        <f t="shared" si="60"/>
        <v>0</v>
      </c>
    </row>
    <row r="220" spans="1:22" x14ac:dyDescent="0.3">
      <c r="A220" t="s">
        <v>7</v>
      </c>
      <c r="B220">
        <v>2010</v>
      </c>
      <c r="C220">
        <v>2</v>
      </c>
      <c r="D220" t="str">
        <f t="shared" si="47"/>
        <v>2010-02</v>
      </c>
      <c r="E220" s="2">
        <f>IF(MOD(ROW()-2,2)=0, INDEX('[1]2310008001-eng'!$B$13:$B$288, (ROW()-2)/2+1), INDEX('[1]2310008001-eng'!$C$13:$C$288, (ROW()-2)/2+1))*1000</f>
        <v>627361000</v>
      </c>
      <c r="F220" s="2">
        <f>IF(MOD(ROW()-2,2)=0, INDEX('[2]1710000901-eng'!$B$12:$B$73, INT((ROW()-2)/6)+1), INDEX('[2]1710000901-eng'!$C$12:$C$73, INT((ROW()-2)/6)+1))</f>
        <v>7886127</v>
      </c>
      <c r="G220">
        <f t="shared" si="48"/>
        <v>79.552485015775176</v>
      </c>
      <c r="H220">
        <v>1</v>
      </c>
      <c r="I220">
        <v>1</v>
      </c>
      <c r="J220">
        <f t="shared" si="46"/>
        <v>1</v>
      </c>
      <c r="K220">
        <f t="shared" si="49"/>
        <v>0</v>
      </c>
      <c r="L220">
        <f t="shared" si="50"/>
        <v>1</v>
      </c>
      <c r="M220">
        <f t="shared" si="51"/>
        <v>0</v>
      </c>
      <c r="N220">
        <f t="shared" si="52"/>
        <v>0</v>
      </c>
      <c r="O220">
        <f t="shared" si="53"/>
        <v>0</v>
      </c>
      <c r="P220">
        <f t="shared" si="54"/>
        <v>0</v>
      </c>
      <c r="Q220">
        <f t="shared" si="55"/>
        <v>0</v>
      </c>
      <c r="R220">
        <f t="shared" si="56"/>
        <v>0</v>
      </c>
      <c r="S220">
        <f t="shared" si="57"/>
        <v>0</v>
      </c>
      <c r="T220">
        <f t="shared" si="58"/>
        <v>0</v>
      </c>
      <c r="U220">
        <f t="shared" si="59"/>
        <v>0</v>
      </c>
      <c r="V220">
        <f t="shared" si="60"/>
        <v>0</v>
      </c>
    </row>
    <row r="221" spans="1:22" x14ac:dyDescent="0.3">
      <c r="A221" t="s">
        <v>22</v>
      </c>
      <c r="B221">
        <v>2010</v>
      </c>
      <c r="C221">
        <v>2</v>
      </c>
      <c r="D221" t="str">
        <f t="shared" si="47"/>
        <v>2010-02</v>
      </c>
      <c r="E221" s="2">
        <f>IF(MOD(ROW()-2,2)=0, INDEX('[1]2310008001-eng'!$B$13:$B$288, (ROW()-2)/2+1), INDEX('[1]2310008001-eng'!$C$13:$C$288, (ROW()-2)/2+1))*1000</f>
        <v>1143487000</v>
      </c>
      <c r="F221" s="2">
        <f>IF(MOD(ROW()-2,2)=0, INDEX('[2]1710000901-eng'!$B$12:$B$73, INT((ROW()-2)/6)+1), INDEX('[2]1710000901-eng'!$C$12:$C$73, INT((ROW()-2)/6)+1))</f>
        <v>13059426</v>
      </c>
      <c r="G221">
        <f t="shared" si="48"/>
        <v>87.560280214459652</v>
      </c>
      <c r="H221">
        <v>0</v>
      </c>
      <c r="I221">
        <v>1</v>
      </c>
      <c r="J221">
        <f t="shared" si="46"/>
        <v>0</v>
      </c>
      <c r="K221">
        <f t="shared" si="49"/>
        <v>0</v>
      </c>
      <c r="L221">
        <f t="shared" si="50"/>
        <v>1</v>
      </c>
      <c r="M221">
        <f t="shared" si="51"/>
        <v>0</v>
      </c>
      <c r="N221">
        <f t="shared" si="52"/>
        <v>0</v>
      </c>
      <c r="O221">
        <f t="shared" si="53"/>
        <v>0</v>
      </c>
      <c r="P221">
        <f t="shared" si="54"/>
        <v>0</v>
      </c>
      <c r="Q221">
        <f t="shared" si="55"/>
        <v>0</v>
      </c>
      <c r="R221">
        <f t="shared" si="56"/>
        <v>0</v>
      </c>
      <c r="S221">
        <f t="shared" si="57"/>
        <v>0</v>
      </c>
      <c r="T221">
        <f t="shared" si="58"/>
        <v>0</v>
      </c>
      <c r="U221">
        <f t="shared" si="59"/>
        <v>0</v>
      </c>
      <c r="V221">
        <f t="shared" si="60"/>
        <v>0</v>
      </c>
    </row>
    <row r="222" spans="1:22" x14ac:dyDescent="0.3">
      <c r="A222" t="s">
        <v>7</v>
      </c>
      <c r="B222">
        <v>2010</v>
      </c>
      <c r="C222">
        <v>3</v>
      </c>
      <c r="D222" t="str">
        <f t="shared" si="47"/>
        <v>2010-03</v>
      </c>
      <c r="E222" s="2">
        <f>IF(MOD(ROW()-2,2)=0, INDEX('[1]2310008001-eng'!$B$13:$B$288, (ROW()-2)/2+1), INDEX('[1]2310008001-eng'!$C$13:$C$288, (ROW()-2)/2+1))*1000</f>
        <v>631373000</v>
      </c>
      <c r="F222" s="2">
        <f>IF(MOD(ROW()-2,2)=0, INDEX('[2]1710000901-eng'!$B$12:$B$73, INT((ROW()-2)/6)+1), INDEX('[2]1710000901-eng'!$C$12:$C$73, INT((ROW()-2)/6)+1))</f>
        <v>7886127</v>
      </c>
      <c r="G222">
        <f t="shared" si="48"/>
        <v>80.061226505735959</v>
      </c>
      <c r="H222">
        <v>1</v>
      </c>
      <c r="I222">
        <v>1</v>
      </c>
      <c r="J222">
        <f t="shared" si="46"/>
        <v>1</v>
      </c>
      <c r="K222">
        <f t="shared" si="49"/>
        <v>0</v>
      </c>
      <c r="L222">
        <f t="shared" si="50"/>
        <v>0</v>
      </c>
      <c r="M222">
        <f t="shared" si="51"/>
        <v>1</v>
      </c>
      <c r="N222">
        <f t="shared" si="52"/>
        <v>0</v>
      </c>
      <c r="O222">
        <f t="shared" si="53"/>
        <v>0</v>
      </c>
      <c r="P222">
        <f t="shared" si="54"/>
        <v>0</v>
      </c>
      <c r="Q222">
        <f t="shared" si="55"/>
        <v>0</v>
      </c>
      <c r="R222">
        <f t="shared" si="56"/>
        <v>0</v>
      </c>
      <c r="S222">
        <f t="shared" si="57"/>
        <v>0</v>
      </c>
      <c r="T222">
        <f t="shared" si="58"/>
        <v>0</v>
      </c>
      <c r="U222">
        <f t="shared" si="59"/>
        <v>0</v>
      </c>
      <c r="V222">
        <f t="shared" si="60"/>
        <v>0</v>
      </c>
    </row>
    <row r="223" spans="1:22" x14ac:dyDescent="0.3">
      <c r="A223" t="s">
        <v>22</v>
      </c>
      <c r="B223">
        <v>2010</v>
      </c>
      <c r="C223">
        <v>3</v>
      </c>
      <c r="D223" t="str">
        <f t="shared" si="47"/>
        <v>2010-03</v>
      </c>
      <c r="E223" s="2">
        <f>IF(MOD(ROW()-2,2)=0, INDEX('[1]2310008001-eng'!$B$13:$B$288, (ROW()-2)/2+1), INDEX('[1]2310008001-eng'!$C$13:$C$288, (ROW()-2)/2+1))*1000</f>
        <v>1285798000</v>
      </c>
      <c r="F223" s="2">
        <f>IF(MOD(ROW()-2,2)=0, INDEX('[2]1710000901-eng'!$B$12:$B$73, INT((ROW()-2)/6)+1), INDEX('[2]1710000901-eng'!$C$12:$C$73, INT((ROW()-2)/6)+1))</f>
        <v>13059426</v>
      </c>
      <c r="G223">
        <f t="shared" si="48"/>
        <v>98.457466660479568</v>
      </c>
      <c r="H223">
        <v>0</v>
      </c>
      <c r="I223">
        <v>1</v>
      </c>
      <c r="J223">
        <f t="shared" si="46"/>
        <v>0</v>
      </c>
      <c r="K223">
        <f t="shared" si="49"/>
        <v>0</v>
      </c>
      <c r="L223">
        <f t="shared" si="50"/>
        <v>0</v>
      </c>
      <c r="M223">
        <f t="shared" si="51"/>
        <v>1</v>
      </c>
      <c r="N223">
        <f t="shared" si="52"/>
        <v>0</v>
      </c>
      <c r="O223">
        <f t="shared" si="53"/>
        <v>0</v>
      </c>
      <c r="P223">
        <f t="shared" si="54"/>
        <v>0</v>
      </c>
      <c r="Q223">
        <f t="shared" si="55"/>
        <v>0</v>
      </c>
      <c r="R223">
        <f t="shared" si="56"/>
        <v>0</v>
      </c>
      <c r="S223">
        <f t="shared" si="57"/>
        <v>0</v>
      </c>
      <c r="T223">
        <f t="shared" si="58"/>
        <v>0</v>
      </c>
      <c r="U223">
        <f t="shared" si="59"/>
        <v>0</v>
      </c>
      <c r="V223">
        <f t="shared" si="60"/>
        <v>0</v>
      </c>
    </row>
    <row r="224" spans="1:22" x14ac:dyDescent="0.3">
      <c r="A224" t="s">
        <v>7</v>
      </c>
      <c r="B224">
        <v>2010</v>
      </c>
      <c r="C224">
        <v>4</v>
      </c>
      <c r="D224" t="str">
        <f t="shared" si="47"/>
        <v>2010-04</v>
      </c>
      <c r="E224" s="2">
        <f>IF(MOD(ROW()-2,2)=0, INDEX('[1]2310008001-eng'!$B$13:$B$288, (ROW()-2)/2+1), INDEX('[1]2310008001-eng'!$C$13:$C$288, (ROW()-2)/2+1))*1000</f>
        <v>620720000</v>
      </c>
      <c r="F224" s="2">
        <f>IF(MOD(ROW()-2,2)=0, INDEX('[2]1710000901-eng'!$B$12:$B$73, INT((ROW()-2)/6)+1), INDEX('[2]1710000901-eng'!$C$12:$C$73, INT((ROW()-2)/6)+1))</f>
        <v>7903676</v>
      </c>
      <c r="G224">
        <f t="shared" si="48"/>
        <v>78.535607987979262</v>
      </c>
      <c r="H224">
        <v>1</v>
      </c>
      <c r="I224">
        <v>1</v>
      </c>
      <c r="J224">
        <f t="shared" si="46"/>
        <v>1</v>
      </c>
      <c r="K224">
        <f t="shared" si="49"/>
        <v>0</v>
      </c>
      <c r="L224">
        <f t="shared" si="50"/>
        <v>0</v>
      </c>
      <c r="M224">
        <f t="shared" si="51"/>
        <v>0</v>
      </c>
      <c r="N224">
        <f t="shared" si="52"/>
        <v>1</v>
      </c>
      <c r="O224">
        <f t="shared" si="53"/>
        <v>0</v>
      </c>
      <c r="P224">
        <f t="shared" si="54"/>
        <v>0</v>
      </c>
      <c r="Q224">
        <f t="shared" si="55"/>
        <v>0</v>
      </c>
      <c r="R224">
        <f t="shared" si="56"/>
        <v>0</v>
      </c>
      <c r="S224">
        <f t="shared" si="57"/>
        <v>0</v>
      </c>
      <c r="T224">
        <f t="shared" si="58"/>
        <v>0</v>
      </c>
      <c r="U224">
        <f t="shared" si="59"/>
        <v>0</v>
      </c>
      <c r="V224">
        <f t="shared" si="60"/>
        <v>0</v>
      </c>
    </row>
    <row r="225" spans="1:22" x14ac:dyDescent="0.3">
      <c r="A225" t="s">
        <v>22</v>
      </c>
      <c r="B225">
        <v>2010</v>
      </c>
      <c r="C225">
        <v>4</v>
      </c>
      <c r="D225" t="str">
        <f t="shared" si="47"/>
        <v>2010-04</v>
      </c>
      <c r="E225" s="2">
        <f>IF(MOD(ROW()-2,2)=0, INDEX('[1]2310008001-eng'!$B$13:$B$288, (ROW()-2)/2+1), INDEX('[1]2310008001-eng'!$C$13:$C$288, (ROW()-2)/2+1))*1000</f>
        <v>1274954000</v>
      </c>
      <c r="F225" s="2">
        <f>IF(MOD(ROW()-2,2)=0, INDEX('[2]1710000901-eng'!$B$12:$B$73, INT((ROW()-2)/6)+1), INDEX('[2]1710000901-eng'!$C$12:$C$73, INT((ROW()-2)/6)+1))</f>
        <v>13088924</v>
      </c>
      <c r="G225">
        <f t="shared" si="48"/>
        <v>97.407090147364286</v>
      </c>
      <c r="H225">
        <v>0</v>
      </c>
      <c r="I225">
        <v>1</v>
      </c>
      <c r="J225">
        <f t="shared" si="46"/>
        <v>0</v>
      </c>
      <c r="K225">
        <f t="shared" si="49"/>
        <v>0</v>
      </c>
      <c r="L225">
        <f t="shared" si="50"/>
        <v>0</v>
      </c>
      <c r="M225">
        <f t="shared" si="51"/>
        <v>0</v>
      </c>
      <c r="N225">
        <f t="shared" si="52"/>
        <v>1</v>
      </c>
      <c r="O225">
        <f t="shared" si="53"/>
        <v>0</v>
      </c>
      <c r="P225">
        <f t="shared" si="54"/>
        <v>0</v>
      </c>
      <c r="Q225">
        <f t="shared" si="55"/>
        <v>0</v>
      </c>
      <c r="R225">
        <f t="shared" si="56"/>
        <v>0</v>
      </c>
      <c r="S225">
        <f t="shared" si="57"/>
        <v>0</v>
      </c>
      <c r="T225">
        <f t="shared" si="58"/>
        <v>0</v>
      </c>
      <c r="U225">
        <f t="shared" si="59"/>
        <v>0</v>
      </c>
      <c r="V225">
        <f t="shared" si="60"/>
        <v>0</v>
      </c>
    </row>
    <row r="226" spans="1:22" x14ac:dyDescent="0.3">
      <c r="A226" t="s">
        <v>7</v>
      </c>
      <c r="B226">
        <v>2010</v>
      </c>
      <c r="C226">
        <v>5</v>
      </c>
      <c r="D226" t="str">
        <f t="shared" si="47"/>
        <v>2010-05</v>
      </c>
      <c r="E226" s="2">
        <f>IF(MOD(ROW()-2,2)=0, INDEX('[1]2310008001-eng'!$B$13:$B$288, (ROW()-2)/2+1), INDEX('[1]2310008001-eng'!$C$13:$C$288, (ROW()-2)/2+1))*1000</f>
        <v>726854000</v>
      </c>
      <c r="F226" s="2">
        <f>IF(MOD(ROW()-2,2)=0, INDEX('[2]1710000901-eng'!$B$12:$B$73, INT((ROW()-2)/6)+1), INDEX('[2]1710000901-eng'!$C$12:$C$73, INT((ROW()-2)/6)+1))</f>
        <v>7903676</v>
      </c>
      <c r="G226">
        <f t="shared" si="48"/>
        <v>91.964043060469578</v>
      </c>
      <c r="H226">
        <v>1</v>
      </c>
      <c r="I226">
        <v>1</v>
      </c>
      <c r="J226">
        <f t="shared" si="46"/>
        <v>1</v>
      </c>
      <c r="K226">
        <f t="shared" si="49"/>
        <v>0</v>
      </c>
      <c r="L226">
        <f t="shared" si="50"/>
        <v>0</v>
      </c>
      <c r="M226">
        <f t="shared" si="51"/>
        <v>0</v>
      </c>
      <c r="N226">
        <f t="shared" si="52"/>
        <v>0</v>
      </c>
      <c r="O226">
        <f t="shared" si="53"/>
        <v>1</v>
      </c>
      <c r="P226">
        <f t="shared" si="54"/>
        <v>0</v>
      </c>
      <c r="Q226">
        <f t="shared" si="55"/>
        <v>0</v>
      </c>
      <c r="R226">
        <f t="shared" si="56"/>
        <v>0</v>
      </c>
      <c r="S226">
        <f t="shared" si="57"/>
        <v>0</v>
      </c>
      <c r="T226">
        <f t="shared" si="58"/>
        <v>0</v>
      </c>
      <c r="U226">
        <f t="shared" si="59"/>
        <v>0</v>
      </c>
      <c r="V226">
        <f t="shared" si="60"/>
        <v>0</v>
      </c>
    </row>
    <row r="227" spans="1:22" x14ac:dyDescent="0.3">
      <c r="A227" t="s">
        <v>22</v>
      </c>
      <c r="B227">
        <v>2010</v>
      </c>
      <c r="C227">
        <v>5</v>
      </c>
      <c r="D227" t="str">
        <f t="shared" si="47"/>
        <v>2010-05</v>
      </c>
      <c r="E227" s="2">
        <f>IF(MOD(ROW()-2,2)=0, INDEX('[1]2310008001-eng'!$B$13:$B$288, (ROW()-2)/2+1), INDEX('[1]2310008001-eng'!$C$13:$C$288, (ROW()-2)/2+1))*1000</f>
        <v>1374513000</v>
      </c>
      <c r="F227" s="2">
        <f>IF(MOD(ROW()-2,2)=0, INDEX('[2]1710000901-eng'!$B$12:$B$73, INT((ROW()-2)/6)+1), INDEX('[2]1710000901-eng'!$C$12:$C$73, INT((ROW()-2)/6)+1))</f>
        <v>13088924</v>
      </c>
      <c r="G227">
        <f t="shared" si="48"/>
        <v>105.01344495544477</v>
      </c>
      <c r="H227">
        <v>0</v>
      </c>
      <c r="I227">
        <v>1</v>
      </c>
      <c r="J227">
        <f t="shared" si="46"/>
        <v>0</v>
      </c>
      <c r="K227">
        <f t="shared" si="49"/>
        <v>0</v>
      </c>
      <c r="L227">
        <f t="shared" si="50"/>
        <v>0</v>
      </c>
      <c r="M227">
        <f t="shared" si="51"/>
        <v>0</v>
      </c>
      <c r="N227">
        <f t="shared" si="52"/>
        <v>0</v>
      </c>
      <c r="O227">
        <f t="shared" si="53"/>
        <v>1</v>
      </c>
      <c r="P227">
        <f t="shared" si="54"/>
        <v>0</v>
      </c>
      <c r="Q227">
        <f t="shared" si="55"/>
        <v>0</v>
      </c>
      <c r="R227">
        <f t="shared" si="56"/>
        <v>0</v>
      </c>
      <c r="S227">
        <f t="shared" si="57"/>
        <v>0</v>
      </c>
      <c r="T227">
        <f t="shared" si="58"/>
        <v>0</v>
      </c>
      <c r="U227">
        <f t="shared" si="59"/>
        <v>0</v>
      </c>
      <c r="V227">
        <f t="shared" si="60"/>
        <v>0</v>
      </c>
    </row>
    <row r="228" spans="1:22" x14ac:dyDescent="0.3">
      <c r="A228" t="s">
        <v>7</v>
      </c>
      <c r="B228">
        <v>2010</v>
      </c>
      <c r="C228">
        <v>6</v>
      </c>
      <c r="D228" t="str">
        <f t="shared" si="47"/>
        <v>2010-06</v>
      </c>
      <c r="E228" s="2">
        <f>IF(MOD(ROW()-2,2)=0, INDEX('[1]2310008001-eng'!$B$13:$B$288, (ROW()-2)/2+1), INDEX('[1]2310008001-eng'!$C$13:$C$288, (ROW()-2)/2+1))*1000</f>
        <v>705932000</v>
      </c>
      <c r="F228" s="2">
        <f>IF(MOD(ROW()-2,2)=0, INDEX('[2]1710000901-eng'!$B$12:$B$73, INT((ROW()-2)/6)+1), INDEX('[2]1710000901-eng'!$C$12:$C$73, INT((ROW()-2)/6)+1))</f>
        <v>7903676</v>
      </c>
      <c r="G228">
        <f t="shared" si="48"/>
        <v>89.316920379833377</v>
      </c>
      <c r="H228">
        <v>1</v>
      </c>
      <c r="I228">
        <v>1</v>
      </c>
      <c r="J228">
        <f t="shared" si="46"/>
        <v>1</v>
      </c>
      <c r="K228">
        <f t="shared" si="49"/>
        <v>0</v>
      </c>
      <c r="L228">
        <f t="shared" si="50"/>
        <v>0</v>
      </c>
      <c r="M228">
        <f t="shared" si="51"/>
        <v>0</v>
      </c>
      <c r="N228">
        <f t="shared" si="52"/>
        <v>0</v>
      </c>
      <c r="O228">
        <f t="shared" si="53"/>
        <v>0</v>
      </c>
      <c r="P228">
        <f t="shared" si="54"/>
        <v>1</v>
      </c>
      <c r="Q228">
        <f t="shared" si="55"/>
        <v>0</v>
      </c>
      <c r="R228">
        <f t="shared" si="56"/>
        <v>0</v>
      </c>
      <c r="S228">
        <f t="shared" si="57"/>
        <v>0</v>
      </c>
      <c r="T228">
        <f t="shared" si="58"/>
        <v>0</v>
      </c>
      <c r="U228">
        <f t="shared" si="59"/>
        <v>0</v>
      </c>
      <c r="V228">
        <f t="shared" si="60"/>
        <v>0</v>
      </c>
    </row>
    <row r="229" spans="1:22" x14ac:dyDescent="0.3">
      <c r="A229" t="s">
        <v>22</v>
      </c>
      <c r="B229">
        <v>2010</v>
      </c>
      <c r="C229">
        <v>6</v>
      </c>
      <c r="D229" t="str">
        <f t="shared" si="47"/>
        <v>2010-06</v>
      </c>
      <c r="E229" s="2">
        <f>IF(MOD(ROW()-2,2)=0, INDEX('[1]2310008001-eng'!$B$13:$B$288, (ROW()-2)/2+1), INDEX('[1]2310008001-eng'!$C$13:$C$288, (ROW()-2)/2+1))*1000</f>
        <v>1391133000</v>
      </c>
      <c r="F229" s="2">
        <f>IF(MOD(ROW()-2,2)=0, INDEX('[2]1710000901-eng'!$B$12:$B$73, INT((ROW()-2)/6)+1), INDEX('[2]1710000901-eng'!$C$12:$C$73, INT((ROW()-2)/6)+1))</f>
        <v>13088924</v>
      </c>
      <c r="G229">
        <f t="shared" si="48"/>
        <v>106.2832208361818</v>
      </c>
      <c r="H229">
        <v>0</v>
      </c>
      <c r="I229">
        <v>1</v>
      </c>
      <c r="J229">
        <f t="shared" si="46"/>
        <v>0</v>
      </c>
      <c r="K229">
        <f t="shared" si="49"/>
        <v>0</v>
      </c>
      <c r="L229">
        <f t="shared" si="50"/>
        <v>0</v>
      </c>
      <c r="M229">
        <f t="shared" si="51"/>
        <v>0</v>
      </c>
      <c r="N229">
        <f t="shared" si="52"/>
        <v>0</v>
      </c>
      <c r="O229">
        <f t="shared" si="53"/>
        <v>0</v>
      </c>
      <c r="P229">
        <f t="shared" si="54"/>
        <v>1</v>
      </c>
      <c r="Q229">
        <f t="shared" si="55"/>
        <v>0</v>
      </c>
      <c r="R229">
        <f t="shared" si="56"/>
        <v>0</v>
      </c>
      <c r="S229">
        <f t="shared" si="57"/>
        <v>0</v>
      </c>
      <c r="T229">
        <f t="shared" si="58"/>
        <v>0</v>
      </c>
      <c r="U229">
        <f t="shared" si="59"/>
        <v>0</v>
      </c>
      <c r="V229">
        <f t="shared" si="60"/>
        <v>0</v>
      </c>
    </row>
    <row r="230" spans="1:22" x14ac:dyDescent="0.3">
      <c r="A230" t="s">
        <v>7</v>
      </c>
      <c r="B230">
        <v>2010</v>
      </c>
      <c r="C230">
        <v>7</v>
      </c>
      <c r="D230" t="str">
        <f t="shared" si="47"/>
        <v>2010-07</v>
      </c>
      <c r="E230" s="2">
        <f>IF(MOD(ROW()-2,2)=0, INDEX('[1]2310008001-eng'!$B$13:$B$288, (ROW()-2)/2+1), INDEX('[1]2310008001-eng'!$C$13:$C$288, (ROW()-2)/2+1))*1000</f>
        <v>748112000</v>
      </c>
      <c r="F230" s="2">
        <f>IF(MOD(ROW()-2,2)=0, INDEX('[2]1710000901-eng'!$B$12:$B$73, INT((ROW()-2)/6)+1), INDEX('[2]1710000901-eng'!$C$12:$C$73, INT((ROW()-2)/6)+1))</f>
        <v>7929479</v>
      </c>
      <c r="G230">
        <f t="shared" si="48"/>
        <v>94.345668864246946</v>
      </c>
      <c r="H230">
        <v>1</v>
      </c>
      <c r="I230">
        <v>1</v>
      </c>
      <c r="J230">
        <f t="shared" si="46"/>
        <v>1</v>
      </c>
      <c r="K230">
        <f t="shared" si="49"/>
        <v>0</v>
      </c>
      <c r="L230">
        <f t="shared" si="50"/>
        <v>0</v>
      </c>
      <c r="M230">
        <f t="shared" si="51"/>
        <v>0</v>
      </c>
      <c r="N230">
        <f t="shared" si="52"/>
        <v>0</v>
      </c>
      <c r="O230">
        <f t="shared" si="53"/>
        <v>0</v>
      </c>
      <c r="P230">
        <f t="shared" si="54"/>
        <v>0</v>
      </c>
      <c r="Q230">
        <f t="shared" si="55"/>
        <v>1</v>
      </c>
      <c r="R230">
        <f t="shared" si="56"/>
        <v>0</v>
      </c>
      <c r="S230">
        <f t="shared" si="57"/>
        <v>0</v>
      </c>
      <c r="T230">
        <f t="shared" si="58"/>
        <v>0</v>
      </c>
      <c r="U230">
        <f t="shared" si="59"/>
        <v>0</v>
      </c>
      <c r="V230">
        <f t="shared" si="60"/>
        <v>0</v>
      </c>
    </row>
    <row r="231" spans="1:22" x14ac:dyDescent="0.3">
      <c r="A231" t="s">
        <v>22</v>
      </c>
      <c r="B231">
        <v>2010</v>
      </c>
      <c r="C231">
        <v>7</v>
      </c>
      <c r="D231" t="str">
        <f t="shared" si="47"/>
        <v>2010-07</v>
      </c>
      <c r="E231" s="2">
        <f>IF(MOD(ROW()-2,2)=0, INDEX('[1]2310008001-eng'!$B$13:$B$288, (ROW()-2)/2+1), INDEX('[1]2310008001-eng'!$C$13:$C$288, (ROW()-2)/2+1))*1000</f>
        <v>1377123000</v>
      </c>
      <c r="F231" s="2">
        <f>IF(MOD(ROW()-2,2)=0, INDEX('[2]1710000901-eng'!$B$12:$B$73, INT((ROW()-2)/6)+1), INDEX('[2]1710000901-eng'!$C$12:$C$73, INT((ROW()-2)/6)+1))</f>
        <v>13136481</v>
      </c>
      <c r="G231">
        <f t="shared" si="48"/>
        <v>104.83195613802509</v>
      </c>
      <c r="H231">
        <v>0</v>
      </c>
      <c r="I231">
        <v>1</v>
      </c>
      <c r="J231">
        <f t="shared" si="46"/>
        <v>0</v>
      </c>
      <c r="K231">
        <f t="shared" si="49"/>
        <v>0</v>
      </c>
      <c r="L231">
        <f t="shared" si="50"/>
        <v>0</v>
      </c>
      <c r="M231">
        <f t="shared" si="51"/>
        <v>0</v>
      </c>
      <c r="N231">
        <f t="shared" si="52"/>
        <v>0</v>
      </c>
      <c r="O231">
        <f t="shared" si="53"/>
        <v>0</v>
      </c>
      <c r="P231">
        <f t="shared" si="54"/>
        <v>0</v>
      </c>
      <c r="Q231">
        <f t="shared" si="55"/>
        <v>1</v>
      </c>
      <c r="R231">
        <f t="shared" si="56"/>
        <v>0</v>
      </c>
      <c r="S231">
        <f t="shared" si="57"/>
        <v>0</v>
      </c>
      <c r="T231">
        <f t="shared" si="58"/>
        <v>0</v>
      </c>
      <c r="U231">
        <f t="shared" si="59"/>
        <v>0</v>
      </c>
      <c r="V231">
        <f t="shared" si="60"/>
        <v>0</v>
      </c>
    </row>
    <row r="232" spans="1:22" x14ac:dyDescent="0.3">
      <c r="A232" t="s">
        <v>7</v>
      </c>
      <c r="B232">
        <v>2010</v>
      </c>
      <c r="C232">
        <v>8</v>
      </c>
      <c r="D232" t="str">
        <f t="shared" si="47"/>
        <v>2010-08</v>
      </c>
      <c r="E232" s="2">
        <f>IF(MOD(ROW()-2,2)=0, INDEX('[1]2310008001-eng'!$B$13:$B$288, (ROW()-2)/2+1), INDEX('[1]2310008001-eng'!$C$13:$C$288, (ROW()-2)/2+1))*1000</f>
        <v>784449000</v>
      </c>
      <c r="F232" s="2">
        <f>IF(MOD(ROW()-2,2)=0, INDEX('[2]1710000901-eng'!$B$12:$B$73, INT((ROW()-2)/6)+1), INDEX('[2]1710000901-eng'!$C$12:$C$73, INT((ROW()-2)/6)+1))</f>
        <v>7929479</v>
      </c>
      <c r="G232">
        <f t="shared" si="48"/>
        <v>98.928189355189673</v>
      </c>
      <c r="H232">
        <v>1</v>
      </c>
      <c r="I232">
        <v>1</v>
      </c>
      <c r="J232">
        <f t="shared" si="46"/>
        <v>1</v>
      </c>
      <c r="K232">
        <f t="shared" si="49"/>
        <v>0</v>
      </c>
      <c r="L232">
        <f t="shared" si="50"/>
        <v>0</v>
      </c>
      <c r="M232">
        <f t="shared" si="51"/>
        <v>0</v>
      </c>
      <c r="N232">
        <f t="shared" si="52"/>
        <v>0</v>
      </c>
      <c r="O232">
        <f t="shared" si="53"/>
        <v>0</v>
      </c>
      <c r="P232">
        <f t="shared" si="54"/>
        <v>0</v>
      </c>
      <c r="Q232">
        <f t="shared" si="55"/>
        <v>0</v>
      </c>
      <c r="R232">
        <f t="shared" si="56"/>
        <v>1</v>
      </c>
      <c r="S232">
        <f t="shared" si="57"/>
        <v>0</v>
      </c>
      <c r="T232">
        <f t="shared" si="58"/>
        <v>0</v>
      </c>
      <c r="U232">
        <f t="shared" si="59"/>
        <v>0</v>
      </c>
      <c r="V232">
        <f t="shared" si="60"/>
        <v>0</v>
      </c>
    </row>
    <row r="233" spans="1:22" x14ac:dyDescent="0.3">
      <c r="A233" t="s">
        <v>22</v>
      </c>
      <c r="B233">
        <v>2010</v>
      </c>
      <c r="C233">
        <v>8</v>
      </c>
      <c r="D233" t="str">
        <f t="shared" si="47"/>
        <v>2010-08</v>
      </c>
      <c r="E233" s="2">
        <f>IF(MOD(ROW()-2,2)=0, INDEX('[1]2310008001-eng'!$B$13:$B$288, (ROW()-2)/2+1), INDEX('[1]2310008001-eng'!$C$13:$C$288, (ROW()-2)/2+1))*1000</f>
        <v>1383991000</v>
      </c>
      <c r="F233" s="2">
        <f>IF(MOD(ROW()-2,2)=0, INDEX('[2]1710000901-eng'!$B$12:$B$73, INT((ROW()-2)/6)+1), INDEX('[2]1710000901-eng'!$C$12:$C$73, INT((ROW()-2)/6)+1))</f>
        <v>13136481</v>
      </c>
      <c r="G233">
        <f t="shared" si="48"/>
        <v>105.3547749964393</v>
      </c>
      <c r="H233">
        <v>0</v>
      </c>
      <c r="I233">
        <v>1</v>
      </c>
      <c r="J233">
        <f t="shared" si="46"/>
        <v>0</v>
      </c>
      <c r="K233">
        <f t="shared" si="49"/>
        <v>0</v>
      </c>
      <c r="L233">
        <f t="shared" si="50"/>
        <v>0</v>
      </c>
      <c r="M233">
        <f t="shared" si="51"/>
        <v>0</v>
      </c>
      <c r="N233">
        <f t="shared" si="52"/>
        <v>0</v>
      </c>
      <c r="O233">
        <f t="shared" si="53"/>
        <v>0</v>
      </c>
      <c r="P233">
        <f t="shared" si="54"/>
        <v>0</v>
      </c>
      <c r="Q233">
        <f t="shared" si="55"/>
        <v>0</v>
      </c>
      <c r="R233">
        <f t="shared" si="56"/>
        <v>1</v>
      </c>
      <c r="S233">
        <f t="shared" si="57"/>
        <v>0</v>
      </c>
      <c r="T233">
        <f t="shared" si="58"/>
        <v>0</v>
      </c>
      <c r="U233">
        <f t="shared" si="59"/>
        <v>0</v>
      </c>
      <c r="V233">
        <f t="shared" si="60"/>
        <v>0</v>
      </c>
    </row>
    <row r="234" spans="1:22" x14ac:dyDescent="0.3">
      <c r="A234" t="s">
        <v>7</v>
      </c>
      <c r="B234">
        <v>2010</v>
      </c>
      <c r="C234">
        <v>9</v>
      </c>
      <c r="D234" t="str">
        <f t="shared" si="47"/>
        <v>2010-09</v>
      </c>
      <c r="E234" s="2">
        <f>IF(MOD(ROW()-2,2)=0, INDEX('[1]2310008001-eng'!$B$13:$B$288, (ROW()-2)/2+1), INDEX('[1]2310008001-eng'!$C$13:$C$288, (ROW()-2)/2+1))*1000</f>
        <v>711258000</v>
      </c>
      <c r="F234" s="2">
        <f>IF(MOD(ROW()-2,2)=0, INDEX('[2]1710000901-eng'!$B$12:$B$73, INT((ROW()-2)/6)+1), INDEX('[2]1710000901-eng'!$C$12:$C$73, INT((ROW()-2)/6)+1))</f>
        <v>7929479</v>
      </c>
      <c r="G234">
        <f t="shared" si="48"/>
        <v>89.69794862941184</v>
      </c>
      <c r="H234">
        <v>1</v>
      </c>
      <c r="I234">
        <v>1</v>
      </c>
      <c r="J234">
        <f t="shared" si="46"/>
        <v>1</v>
      </c>
      <c r="K234">
        <f t="shared" si="49"/>
        <v>0</v>
      </c>
      <c r="L234">
        <f t="shared" si="50"/>
        <v>0</v>
      </c>
      <c r="M234">
        <f t="shared" si="51"/>
        <v>0</v>
      </c>
      <c r="N234">
        <f t="shared" si="52"/>
        <v>0</v>
      </c>
      <c r="O234">
        <f t="shared" si="53"/>
        <v>0</v>
      </c>
      <c r="P234">
        <f t="shared" si="54"/>
        <v>0</v>
      </c>
      <c r="Q234">
        <f t="shared" si="55"/>
        <v>0</v>
      </c>
      <c r="R234">
        <f t="shared" si="56"/>
        <v>0</v>
      </c>
      <c r="S234">
        <f t="shared" si="57"/>
        <v>1</v>
      </c>
      <c r="T234">
        <f t="shared" si="58"/>
        <v>0</v>
      </c>
      <c r="U234">
        <f t="shared" si="59"/>
        <v>0</v>
      </c>
      <c r="V234">
        <f t="shared" si="60"/>
        <v>0</v>
      </c>
    </row>
    <row r="235" spans="1:22" x14ac:dyDescent="0.3">
      <c r="A235" t="s">
        <v>22</v>
      </c>
      <c r="B235">
        <v>2010</v>
      </c>
      <c r="C235">
        <v>9</v>
      </c>
      <c r="D235" t="str">
        <f t="shared" si="47"/>
        <v>2010-09</v>
      </c>
      <c r="E235" s="2">
        <f>IF(MOD(ROW()-2,2)=0, INDEX('[1]2310008001-eng'!$B$13:$B$288, (ROW()-2)/2+1), INDEX('[1]2310008001-eng'!$C$13:$C$288, (ROW()-2)/2+1))*1000</f>
        <v>1314614000</v>
      </c>
      <c r="F235" s="2">
        <f>IF(MOD(ROW()-2,2)=0, INDEX('[2]1710000901-eng'!$B$12:$B$73, INT((ROW()-2)/6)+1), INDEX('[2]1710000901-eng'!$C$12:$C$73, INT((ROW()-2)/6)+1))</f>
        <v>13136481</v>
      </c>
      <c r="G235">
        <f t="shared" si="48"/>
        <v>100.07352806280464</v>
      </c>
      <c r="H235">
        <v>0</v>
      </c>
      <c r="I235">
        <v>1</v>
      </c>
      <c r="J235">
        <f t="shared" si="46"/>
        <v>0</v>
      </c>
      <c r="K235">
        <f t="shared" si="49"/>
        <v>0</v>
      </c>
      <c r="L235">
        <f t="shared" si="50"/>
        <v>0</v>
      </c>
      <c r="M235">
        <f t="shared" si="51"/>
        <v>0</v>
      </c>
      <c r="N235">
        <f t="shared" si="52"/>
        <v>0</v>
      </c>
      <c r="O235">
        <f t="shared" si="53"/>
        <v>0</v>
      </c>
      <c r="P235">
        <f t="shared" si="54"/>
        <v>0</v>
      </c>
      <c r="Q235">
        <f t="shared" si="55"/>
        <v>0</v>
      </c>
      <c r="R235">
        <f t="shared" si="56"/>
        <v>0</v>
      </c>
      <c r="S235">
        <f t="shared" si="57"/>
        <v>1</v>
      </c>
      <c r="T235">
        <f t="shared" si="58"/>
        <v>0</v>
      </c>
      <c r="U235">
        <f t="shared" si="59"/>
        <v>0</v>
      </c>
      <c r="V235">
        <f t="shared" si="60"/>
        <v>0</v>
      </c>
    </row>
    <row r="236" spans="1:22" x14ac:dyDescent="0.3">
      <c r="A236" t="s">
        <v>7</v>
      </c>
      <c r="B236">
        <v>2010</v>
      </c>
      <c r="C236">
        <v>10</v>
      </c>
      <c r="D236" t="str">
        <f t="shared" si="47"/>
        <v>2010-10</v>
      </c>
      <c r="E236" s="2">
        <f>IF(MOD(ROW()-2,2)=0, INDEX('[1]2310008001-eng'!$B$13:$B$288, (ROW()-2)/2+1), INDEX('[1]2310008001-eng'!$C$13:$C$288, (ROW()-2)/2+1))*1000</f>
        <v>713192000</v>
      </c>
      <c r="F236" s="2">
        <f>IF(MOD(ROW()-2,2)=0, INDEX('[2]1710000901-eng'!$B$12:$B$73, INT((ROW()-2)/6)+1), INDEX('[2]1710000901-eng'!$C$12:$C$73, INT((ROW()-2)/6)+1))</f>
        <v>7955183</v>
      </c>
      <c r="G236">
        <f t="shared" si="48"/>
        <v>89.651237438535361</v>
      </c>
      <c r="H236">
        <v>1</v>
      </c>
      <c r="I236">
        <v>1</v>
      </c>
      <c r="J236">
        <f t="shared" si="46"/>
        <v>1</v>
      </c>
      <c r="K236">
        <f t="shared" si="49"/>
        <v>0</v>
      </c>
      <c r="L236">
        <f t="shared" si="50"/>
        <v>0</v>
      </c>
      <c r="M236">
        <f t="shared" si="51"/>
        <v>0</v>
      </c>
      <c r="N236">
        <f t="shared" si="52"/>
        <v>0</v>
      </c>
      <c r="O236">
        <f t="shared" si="53"/>
        <v>0</v>
      </c>
      <c r="P236">
        <f t="shared" si="54"/>
        <v>0</v>
      </c>
      <c r="Q236">
        <f t="shared" si="55"/>
        <v>0</v>
      </c>
      <c r="R236">
        <f t="shared" si="56"/>
        <v>0</v>
      </c>
      <c r="S236">
        <f t="shared" si="57"/>
        <v>0</v>
      </c>
      <c r="T236">
        <f t="shared" si="58"/>
        <v>1</v>
      </c>
      <c r="U236">
        <f t="shared" si="59"/>
        <v>0</v>
      </c>
      <c r="V236">
        <f t="shared" si="60"/>
        <v>0</v>
      </c>
    </row>
    <row r="237" spans="1:22" x14ac:dyDescent="0.3">
      <c r="A237" t="s">
        <v>22</v>
      </c>
      <c r="B237">
        <v>2010</v>
      </c>
      <c r="C237">
        <v>10</v>
      </c>
      <c r="D237" t="str">
        <f t="shared" si="47"/>
        <v>2010-10</v>
      </c>
      <c r="E237" s="2">
        <f>IF(MOD(ROW()-2,2)=0, INDEX('[1]2310008001-eng'!$B$13:$B$288, (ROW()-2)/2+1), INDEX('[1]2310008001-eng'!$C$13:$C$288, (ROW()-2)/2+1))*1000</f>
        <v>1345586000</v>
      </c>
      <c r="F237" s="2">
        <f>IF(MOD(ROW()-2,2)=0, INDEX('[2]1710000901-eng'!$B$12:$B$73, INT((ROW()-2)/6)+1), INDEX('[2]1710000901-eng'!$C$12:$C$73, INT((ROW()-2)/6)+1))</f>
        <v>13189987</v>
      </c>
      <c r="G237">
        <f t="shared" si="48"/>
        <v>102.01571843853978</v>
      </c>
      <c r="H237">
        <v>0</v>
      </c>
      <c r="I237">
        <v>1</v>
      </c>
      <c r="J237">
        <f t="shared" si="46"/>
        <v>0</v>
      </c>
      <c r="K237">
        <f t="shared" si="49"/>
        <v>0</v>
      </c>
      <c r="L237">
        <f t="shared" si="50"/>
        <v>0</v>
      </c>
      <c r="M237">
        <f t="shared" si="51"/>
        <v>0</v>
      </c>
      <c r="N237">
        <f t="shared" si="52"/>
        <v>0</v>
      </c>
      <c r="O237">
        <f t="shared" si="53"/>
        <v>0</v>
      </c>
      <c r="P237">
        <f t="shared" si="54"/>
        <v>0</v>
      </c>
      <c r="Q237">
        <f t="shared" si="55"/>
        <v>0</v>
      </c>
      <c r="R237">
        <f t="shared" si="56"/>
        <v>0</v>
      </c>
      <c r="S237">
        <f t="shared" si="57"/>
        <v>0</v>
      </c>
      <c r="T237">
        <f t="shared" si="58"/>
        <v>1</v>
      </c>
      <c r="U237">
        <f t="shared" si="59"/>
        <v>0</v>
      </c>
      <c r="V237">
        <f t="shared" si="60"/>
        <v>0</v>
      </c>
    </row>
    <row r="238" spans="1:22" x14ac:dyDescent="0.3">
      <c r="A238" t="s">
        <v>7</v>
      </c>
      <c r="B238">
        <v>2010</v>
      </c>
      <c r="C238">
        <v>11</v>
      </c>
      <c r="D238" t="str">
        <f t="shared" si="47"/>
        <v>2010-11</v>
      </c>
      <c r="E238" s="2">
        <f>IF(MOD(ROW()-2,2)=0, INDEX('[1]2310008001-eng'!$B$13:$B$288, (ROW()-2)/2+1), INDEX('[1]2310008001-eng'!$C$13:$C$288, (ROW()-2)/2+1))*1000</f>
        <v>602405000</v>
      </c>
      <c r="F238" s="2">
        <f>IF(MOD(ROW()-2,2)=0, INDEX('[2]1710000901-eng'!$B$12:$B$73, INT((ROW()-2)/6)+1), INDEX('[2]1710000901-eng'!$C$12:$C$73, INT((ROW()-2)/6)+1))</f>
        <v>7955183</v>
      </c>
      <c r="G238">
        <f t="shared" si="48"/>
        <v>75.72484504756207</v>
      </c>
      <c r="H238">
        <v>1</v>
      </c>
      <c r="I238">
        <v>1</v>
      </c>
      <c r="J238">
        <f t="shared" si="46"/>
        <v>1</v>
      </c>
      <c r="K238">
        <f t="shared" si="49"/>
        <v>0</v>
      </c>
      <c r="L238">
        <f t="shared" si="50"/>
        <v>0</v>
      </c>
      <c r="M238">
        <f t="shared" si="51"/>
        <v>0</v>
      </c>
      <c r="N238">
        <f t="shared" si="52"/>
        <v>0</v>
      </c>
      <c r="O238">
        <f t="shared" si="53"/>
        <v>0</v>
      </c>
      <c r="P238">
        <f t="shared" si="54"/>
        <v>0</v>
      </c>
      <c r="Q238">
        <f t="shared" si="55"/>
        <v>0</v>
      </c>
      <c r="R238">
        <f t="shared" si="56"/>
        <v>0</v>
      </c>
      <c r="S238">
        <f t="shared" si="57"/>
        <v>0</v>
      </c>
      <c r="T238">
        <f t="shared" si="58"/>
        <v>0</v>
      </c>
      <c r="U238">
        <f t="shared" si="59"/>
        <v>1</v>
      </c>
      <c r="V238">
        <f t="shared" si="60"/>
        <v>0</v>
      </c>
    </row>
    <row r="239" spans="1:22" x14ac:dyDescent="0.3">
      <c r="A239" t="s">
        <v>22</v>
      </c>
      <c r="B239">
        <v>2010</v>
      </c>
      <c r="C239">
        <v>11</v>
      </c>
      <c r="D239" t="str">
        <f t="shared" si="47"/>
        <v>2010-11</v>
      </c>
      <c r="E239" s="2">
        <f>IF(MOD(ROW()-2,2)=0, INDEX('[1]2310008001-eng'!$B$13:$B$288, (ROW()-2)/2+1), INDEX('[1]2310008001-eng'!$C$13:$C$288, (ROW()-2)/2+1))*1000</f>
        <v>1318268000</v>
      </c>
      <c r="F239" s="2">
        <f>IF(MOD(ROW()-2,2)=0, INDEX('[2]1710000901-eng'!$B$12:$B$73, INT((ROW()-2)/6)+1), INDEX('[2]1710000901-eng'!$C$12:$C$73, INT((ROW()-2)/6)+1))</f>
        <v>13189987</v>
      </c>
      <c r="G239">
        <f t="shared" si="48"/>
        <v>99.944601916590216</v>
      </c>
      <c r="H239">
        <v>0</v>
      </c>
      <c r="I239">
        <v>1</v>
      </c>
      <c r="J239">
        <f t="shared" ref="J239:J289" si="61">IF(AND(H239=1, I239=1), 1, 0)</f>
        <v>0</v>
      </c>
      <c r="K239">
        <f t="shared" si="49"/>
        <v>0</v>
      </c>
      <c r="L239">
        <f t="shared" si="50"/>
        <v>0</v>
      </c>
      <c r="M239">
        <f t="shared" si="51"/>
        <v>0</v>
      </c>
      <c r="N239">
        <f t="shared" si="52"/>
        <v>0</v>
      </c>
      <c r="O239">
        <f t="shared" si="53"/>
        <v>0</v>
      </c>
      <c r="P239">
        <f t="shared" si="54"/>
        <v>0</v>
      </c>
      <c r="Q239">
        <f t="shared" si="55"/>
        <v>0</v>
      </c>
      <c r="R239">
        <f t="shared" si="56"/>
        <v>0</v>
      </c>
      <c r="S239">
        <f t="shared" si="57"/>
        <v>0</v>
      </c>
      <c r="T239">
        <f t="shared" si="58"/>
        <v>0</v>
      </c>
      <c r="U239">
        <f t="shared" si="59"/>
        <v>1</v>
      </c>
      <c r="V239">
        <f t="shared" si="60"/>
        <v>0</v>
      </c>
    </row>
    <row r="240" spans="1:22" x14ac:dyDescent="0.3">
      <c r="A240" t="s">
        <v>7</v>
      </c>
      <c r="B240">
        <v>2010</v>
      </c>
      <c r="C240">
        <v>12</v>
      </c>
      <c r="D240" t="str">
        <f t="shared" si="47"/>
        <v>2010-12</v>
      </c>
      <c r="E240" s="2">
        <f>IF(MOD(ROW()-2,2)=0, INDEX('[1]2310008001-eng'!$B$13:$B$288, (ROW()-2)/2+1), INDEX('[1]2310008001-eng'!$C$13:$C$288, (ROW()-2)/2+1))*1000</f>
        <v>736784000</v>
      </c>
      <c r="F240" s="2">
        <f>IF(MOD(ROW()-2,2)=0, INDEX('[2]1710000901-eng'!$B$12:$B$73, INT((ROW()-2)/6)+1), INDEX('[2]1710000901-eng'!$C$12:$C$73, INT((ROW()-2)/6)+1))</f>
        <v>7955183</v>
      </c>
      <c r="G240">
        <f t="shared" si="48"/>
        <v>92.616851177402211</v>
      </c>
      <c r="H240">
        <v>1</v>
      </c>
      <c r="I240">
        <v>1</v>
      </c>
      <c r="J240">
        <f t="shared" si="61"/>
        <v>1</v>
      </c>
      <c r="K240">
        <f t="shared" si="49"/>
        <v>0</v>
      </c>
      <c r="L240">
        <f t="shared" si="50"/>
        <v>0</v>
      </c>
      <c r="M240">
        <f t="shared" si="51"/>
        <v>0</v>
      </c>
      <c r="N240">
        <f t="shared" si="52"/>
        <v>0</v>
      </c>
      <c r="O240">
        <f t="shared" si="53"/>
        <v>0</v>
      </c>
      <c r="P240">
        <f t="shared" si="54"/>
        <v>0</v>
      </c>
      <c r="Q240">
        <f t="shared" si="55"/>
        <v>0</v>
      </c>
      <c r="R240">
        <f t="shared" si="56"/>
        <v>0</v>
      </c>
      <c r="S240">
        <f t="shared" si="57"/>
        <v>0</v>
      </c>
      <c r="T240">
        <f t="shared" si="58"/>
        <v>0</v>
      </c>
      <c r="U240">
        <f t="shared" si="59"/>
        <v>0</v>
      </c>
      <c r="V240">
        <f t="shared" si="60"/>
        <v>1</v>
      </c>
    </row>
    <row r="241" spans="1:22" x14ac:dyDescent="0.3">
      <c r="A241" t="s">
        <v>22</v>
      </c>
      <c r="B241">
        <v>2010</v>
      </c>
      <c r="C241">
        <v>12</v>
      </c>
      <c r="D241" t="str">
        <f t="shared" si="47"/>
        <v>2010-12</v>
      </c>
      <c r="E241" s="2">
        <f>IF(MOD(ROW()-2,2)=0, INDEX('[1]2310008001-eng'!$B$13:$B$288, (ROW()-2)/2+1), INDEX('[1]2310008001-eng'!$C$13:$C$288, (ROW()-2)/2+1))*1000</f>
        <v>1352474000</v>
      </c>
      <c r="F241" s="2">
        <f>IF(MOD(ROW()-2,2)=0, INDEX('[2]1710000901-eng'!$B$12:$B$73, INT((ROW()-2)/6)+1), INDEX('[2]1710000901-eng'!$C$12:$C$73, INT((ROW()-2)/6)+1))</f>
        <v>13189987</v>
      </c>
      <c r="G241">
        <f t="shared" si="48"/>
        <v>102.53793275156374</v>
      </c>
      <c r="H241">
        <v>0</v>
      </c>
      <c r="I241">
        <v>1</v>
      </c>
      <c r="J241">
        <f t="shared" si="61"/>
        <v>0</v>
      </c>
      <c r="K241">
        <f t="shared" si="49"/>
        <v>0</v>
      </c>
      <c r="L241">
        <f t="shared" si="50"/>
        <v>0</v>
      </c>
      <c r="M241">
        <f t="shared" si="51"/>
        <v>0</v>
      </c>
      <c r="N241">
        <f t="shared" si="52"/>
        <v>0</v>
      </c>
      <c r="O241">
        <f t="shared" si="53"/>
        <v>0</v>
      </c>
      <c r="P241">
        <f t="shared" si="54"/>
        <v>0</v>
      </c>
      <c r="Q241">
        <f t="shared" si="55"/>
        <v>0</v>
      </c>
      <c r="R241">
        <f t="shared" si="56"/>
        <v>0</v>
      </c>
      <c r="S241">
        <f t="shared" si="57"/>
        <v>0</v>
      </c>
      <c r="T241">
        <f t="shared" si="58"/>
        <v>0</v>
      </c>
      <c r="U241">
        <f t="shared" si="59"/>
        <v>0</v>
      </c>
      <c r="V241">
        <f t="shared" si="60"/>
        <v>1</v>
      </c>
    </row>
    <row r="242" spans="1:22" x14ac:dyDescent="0.3">
      <c r="A242" t="s">
        <v>7</v>
      </c>
      <c r="B242">
        <v>2011</v>
      </c>
      <c r="C242">
        <v>1</v>
      </c>
      <c r="D242" t="str">
        <f t="shared" si="47"/>
        <v>2011-01</v>
      </c>
      <c r="E242" s="2">
        <f>IF(MOD(ROW()-2,2)=0, INDEX('[1]2310008001-eng'!$B$13:$B$288, (ROW()-2)/2+1), INDEX('[1]2310008001-eng'!$C$13:$C$288, (ROW()-2)/2+1))*1000</f>
        <v>732695000</v>
      </c>
      <c r="F242" s="2">
        <f>IF(MOD(ROW()-2,2)=0, INDEX('[2]1710000901-eng'!$B$12:$B$73, INT((ROW()-2)/6)+1), INDEX('[2]1710000901-eng'!$C$12:$C$73, INT((ROW()-2)/6)+1))</f>
        <v>7967270</v>
      </c>
      <c r="G242">
        <f t="shared" si="48"/>
        <v>91.963119111063136</v>
      </c>
      <c r="H242">
        <v>1</v>
      </c>
      <c r="I242">
        <v>1</v>
      </c>
      <c r="J242">
        <f t="shared" si="61"/>
        <v>1</v>
      </c>
      <c r="K242">
        <f t="shared" si="49"/>
        <v>1</v>
      </c>
      <c r="L242">
        <f t="shared" si="50"/>
        <v>0</v>
      </c>
      <c r="M242">
        <f t="shared" si="51"/>
        <v>0</v>
      </c>
      <c r="N242">
        <f t="shared" si="52"/>
        <v>0</v>
      </c>
      <c r="O242">
        <f t="shared" si="53"/>
        <v>0</v>
      </c>
      <c r="P242">
        <f t="shared" si="54"/>
        <v>0</v>
      </c>
      <c r="Q242">
        <f t="shared" si="55"/>
        <v>0</v>
      </c>
      <c r="R242">
        <f t="shared" si="56"/>
        <v>0</v>
      </c>
      <c r="S242">
        <f t="shared" si="57"/>
        <v>0</v>
      </c>
      <c r="T242">
        <f t="shared" si="58"/>
        <v>0</v>
      </c>
      <c r="U242">
        <f t="shared" si="59"/>
        <v>0</v>
      </c>
      <c r="V242">
        <f t="shared" si="60"/>
        <v>0</v>
      </c>
    </row>
    <row r="243" spans="1:22" x14ac:dyDescent="0.3">
      <c r="A243" t="s">
        <v>22</v>
      </c>
      <c r="B243">
        <v>2011</v>
      </c>
      <c r="C243">
        <v>1</v>
      </c>
      <c r="D243" t="str">
        <f t="shared" si="47"/>
        <v>2011-01</v>
      </c>
      <c r="E243" s="2">
        <f>IF(MOD(ROW()-2,2)=0, INDEX('[1]2310008001-eng'!$B$13:$B$288, (ROW()-2)/2+1), INDEX('[1]2310008001-eng'!$C$13:$C$288, (ROW()-2)/2+1))*1000</f>
        <v>1263508000</v>
      </c>
      <c r="F243" s="2">
        <f>IF(MOD(ROW()-2,2)=0, INDEX('[2]1710000901-eng'!$B$12:$B$73, INT((ROW()-2)/6)+1), INDEX('[2]1710000901-eng'!$C$12:$C$73, INT((ROW()-2)/6)+1))</f>
        <v>13199081</v>
      </c>
      <c r="G243">
        <f t="shared" si="48"/>
        <v>95.726967657824062</v>
      </c>
      <c r="H243">
        <v>0</v>
      </c>
      <c r="I243">
        <v>1</v>
      </c>
      <c r="J243">
        <f t="shared" si="61"/>
        <v>0</v>
      </c>
      <c r="K243">
        <f t="shared" si="49"/>
        <v>1</v>
      </c>
      <c r="L243">
        <f t="shared" si="50"/>
        <v>0</v>
      </c>
      <c r="M243">
        <f t="shared" si="51"/>
        <v>0</v>
      </c>
      <c r="N243">
        <f t="shared" si="52"/>
        <v>0</v>
      </c>
      <c r="O243">
        <f t="shared" si="53"/>
        <v>0</v>
      </c>
      <c r="P243">
        <f t="shared" si="54"/>
        <v>0</v>
      </c>
      <c r="Q243">
        <f t="shared" si="55"/>
        <v>0</v>
      </c>
      <c r="R243">
        <f t="shared" si="56"/>
        <v>0</v>
      </c>
      <c r="S243">
        <f t="shared" si="57"/>
        <v>0</v>
      </c>
      <c r="T243">
        <f t="shared" si="58"/>
        <v>0</v>
      </c>
      <c r="U243">
        <f t="shared" si="59"/>
        <v>0</v>
      </c>
      <c r="V243">
        <f t="shared" si="60"/>
        <v>0</v>
      </c>
    </row>
    <row r="244" spans="1:22" x14ac:dyDescent="0.3">
      <c r="A244" t="s">
        <v>7</v>
      </c>
      <c r="B244">
        <v>2011</v>
      </c>
      <c r="C244">
        <v>2</v>
      </c>
      <c r="D244" t="str">
        <f t="shared" si="47"/>
        <v>2011-02</v>
      </c>
      <c r="E244" s="2">
        <f>IF(MOD(ROW()-2,2)=0, INDEX('[1]2310008001-eng'!$B$13:$B$288, (ROW()-2)/2+1), INDEX('[1]2310008001-eng'!$C$13:$C$288, (ROW()-2)/2+1))*1000</f>
        <v>652183000</v>
      </c>
      <c r="F244" s="2">
        <f>IF(MOD(ROW()-2,2)=0, INDEX('[2]1710000901-eng'!$B$12:$B$73, INT((ROW()-2)/6)+1), INDEX('[2]1710000901-eng'!$C$12:$C$73, INT((ROW()-2)/6)+1))</f>
        <v>7967270</v>
      </c>
      <c r="G244">
        <f t="shared" si="48"/>
        <v>81.857775624523839</v>
      </c>
      <c r="H244">
        <v>1</v>
      </c>
      <c r="I244">
        <v>1</v>
      </c>
      <c r="J244">
        <f t="shared" si="61"/>
        <v>1</v>
      </c>
      <c r="K244">
        <f t="shared" si="49"/>
        <v>0</v>
      </c>
      <c r="L244">
        <f t="shared" si="50"/>
        <v>1</v>
      </c>
      <c r="M244">
        <f t="shared" si="51"/>
        <v>0</v>
      </c>
      <c r="N244">
        <f t="shared" si="52"/>
        <v>0</v>
      </c>
      <c r="O244">
        <f t="shared" si="53"/>
        <v>0</v>
      </c>
      <c r="P244">
        <f t="shared" si="54"/>
        <v>0</v>
      </c>
      <c r="Q244">
        <f t="shared" si="55"/>
        <v>0</v>
      </c>
      <c r="R244">
        <f t="shared" si="56"/>
        <v>0</v>
      </c>
      <c r="S244">
        <f t="shared" si="57"/>
        <v>0</v>
      </c>
      <c r="T244">
        <f t="shared" si="58"/>
        <v>0</v>
      </c>
      <c r="U244">
        <f t="shared" si="59"/>
        <v>0</v>
      </c>
      <c r="V244">
        <f t="shared" si="60"/>
        <v>0</v>
      </c>
    </row>
    <row r="245" spans="1:22" x14ac:dyDescent="0.3">
      <c r="A245" t="s">
        <v>22</v>
      </c>
      <c r="B245">
        <v>2011</v>
      </c>
      <c r="C245">
        <v>2</v>
      </c>
      <c r="D245" t="str">
        <f t="shared" si="47"/>
        <v>2011-02</v>
      </c>
      <c r="E245" s="2">
        <f>IF(MOD(ROW()-2,2)=0, INDEX('[1]2310008001-eng'!$B$13:$B$288, (ROW()-2)/2+1), INDEX('[1]2310008001-eng'!$C$13:$C$288, (ROW()-2)/2+1))*1000</f>
        <v>1160360000</v>
      </c>
      <c r="F245" s="2">
        <f>IF(MOD(ROW()-2,2)=0, INDEX('[2]1710000901-eng'!$B$12:$B$73, INT((ROW()-2)/6)+1), INDEX('[2]1710000901-eng'!$C$12:$C$73, INT((ROW()-2)/6)+1))</f>
        <v>13199081</v>
      </c>
      <c r="G245">
        <f t="shared" si="48"/>
        <v>87.912181158673093</v>
      </c>
      <c r="H245">
        <v>0</v>
      </c>
      <c r="I245">
        <v>1</v>
      </c>
      <c r="J245">
        <f t="shared" si="61"/>
        <v>0</v>
      </c>
      <c r="K245">
        <f t="shared" si="49"/>
        <v>0</v>
      </c>
      <c r="L245">
        <f t="shared" si="50"/>
        <v>1</v>
      </c>
      <c r="M245">
        <f t="shared" si="51"/>
        <v>0</v>
      </c>
      <c r="N245">
        <f t="shared" si="52"/>
        <v>0</v>
      </c>
      <c r="O245">
        <f t="shared" si="53"/>
        <v>0</v>
      </c>
      <c r="P245">
        <f t="shared" si="54"/>
        <v>0</v>
      </c>
      <c r="Q245">
        <f t="shared" si="55"/>
        <v>0</v>
      </c>
      <c r="R245">
        <f t="shared" si="56"/>
        <v>0</v>
      </c>
      <c r="S245">
        <f t="shared" si="57"/>
        <v>0</v>
      </c>
      <c r="T245">
        <f t="shared" si="58"/>
        <v>0</v>
      </c>
      <c r="U245">
        <f t="shared" si="59"/>
        <v>0</v>
      </c>
      <c r="V245">
        <f t="shared" si="60"/>
        <v>0</v>
      </c>
    </row>
    <row r="246" spans="1:22" x14ac:dyDescent="0.3">
      <c r="A246" t="s">
        <v>7</v>
      </c>
      <c r="B246">
        <v>2011</v>
      </c>
      <c r="C246">
        <v>3</v>
      </c>
      <c r="D246" t="str">
        <f t="shared" si="47"/>
        <v>2011-03</v>
      </c>
      <c r="E246" s="2">
        <f>IF(MOD(ROW()-2,2)=0, INDEX('[1]2310008001-eng'!$B$13:$B$288, (ROW()-2)/2+1), INDEX('[1]2310008001-eng'!$C$13:$C$288, (ROW()-2)/2+1))*1000</f>
        <v>679469000</v>
      </c>
      <c r="F246" s="2">
        <f>IF(MOD(ROW()-2,2)=0, INDEX('[2]1710000901-eng'!$B$12:$B$73, INT((ROW()-2)/6)+1), INDEX('[2]1710000901-eng'!$C$12:$C$73, INT((ROW()-2)/6)+1))</f>
        <v>7967270</v>
      </c>
      <c r="G246">
        <f t="shared" si="48"/>
        <v>85.282537180238648</v>
      </c>
      <c r="H246">
        <v>1</v>
      </c>
      <c r="I246">
        <v>1</v>
      </c>
      <c r="J246">
        <f t="shared" si="61"/>
        <v>1</v>
      </c>
      <c r="K246">
        <f t="shared" si="49"/>
        <v>0</v>
      </c>
      <c r="L246">
        <f t="shared" si="50"/>
        <v>0</v>
      </c>
      <c r="M246">
        <f t="shared" si="51"/>
        <v>1</v>
      </c>
      <c r="N246">
        <f t="shared" si="52"/>
        <v>0</v>
      </c>
      <c r="O246">
        <f t="shared" si="53"/>
        <v>0</v>
      </c>
      <c r="P246">
        <f t="shared" si="54"/>
        <v>0</v>
      </c>
      <c r="Q246">
        <f t="shared" si="55"/>
        <v>0</v>
      </c>
      <c r="R246">
        <f t="shared" si="56"/>
        <v>0</v>
      </c>
      <c r="S246">
        <f t="shared" si="57"/>
        <v>0</v>
      </c>
      <c r="T246">
        <f t="shared" si="58"/>
        <v>0</v>
      </c>
      <c r="U246">
        <f t="shared" si="59"/>
        <v>0</v>
      </c>
      <c r="V246">
        <f t="shared" si="60"/>
        <v>0</v>
      </c>
    </row>
    <row r="247" spans="1:22" x14ac:dyDescent="0.3">
      <c r="A247" t="s">
        <v>22</v>
      </c>
      <c r="B247">
        <v>2011</v>
      </c>
      <c r="C247">
        <v>3</v>
      </c>
      <c r="D247" t="str">
        <f t="shared" si="47"/>
        <v>2011-03</v>
      </c>
      <c r="E247" s="2">
        <f>IF(MOD(ROW()-2,2)=0, INDEX('[1]2310008001-eng'!$B$13:$B$288, (ROW()-2)/2+1), INDEX('[1]2310008001-eng'!$C$13:$C$288, (ROW()-2)/2+1))*1000</f>
        <v>1280543000</v>
      </c>
      <c r="F247" s="2">
        <f>IF(MOD(ROW()-2,2)=0, INDEX('[2]1710000901-eng'!$B$12:$B$73, INT((ROW()-2)/6)+1), INDEX('[2]1710000901-eng'!$C$12:$C$73, INT((ROW()-2)/6)+1))</f>
        <v>13199081</v>
      </c>
      <c r="G247">
        <f t="shared" si="48"/>
        <v>97.017587815394123</v>
      </c>
      <c r="H247">
        <v>0</v>
      </c>
      <c r="I247">
        <v>1</v>
      </c>
      <c r="J247">
        <f t="shared" si="61"/>
        <v>0</v>
      </c>
      <c r="K247">
        <f t="shared" si="49"/>
        <v>0</v>
      </c>
      <c r="L247">
        <f t="shared" si="50"/>
        <v>0</v>
      </c>
      <c r="M247">
        <f t="shared" si="51"/>
        <v>1</v>
      </c>
      <c r="N247">
        <f t="shared" si="52"/>
        <v>0</v>
      </c>
      <c r="O247">
        <f t="shared" si="53"/>
        <v>0</v>
      </c>
      <c r="P247">
        <f t="shared" si="54"/>
        <v>0</v>
      </c>
      <c r="Q247">
        <f t="shared" si="55"/>
        <v>0</v>
      </c>
      <c r="R247">
        <f t="shared" si="56"/>
        <v>0</v>
      </c>
      <c r="S247">
        <f t="shared" si="57"/>
        <v>0</v>
      </c>
      <c r="T247">
        <f t="shared" si="58"/>
        <v>0</v>
      </c>
      <c r="U247">
        <f t="shared" si="59"/>
        <v>0</v>
      </c>
      <c r="V247">
        <f t="shared" si="60"/>
        <v>0</v>
      </c>
    </row>
    <row r="248" spans="1:22" x14ac:dyDescent="0.3">
      <c r="A248" t="s">
        <v>7</v>
      </c>
      <c r="B248">
        <v>2011</v>
      </c>
      <c r="C248">
        <v>4</v>
      </c>
      <c r="D248" t="str">
        <f t="shared" si="47"/>
        <v>2011-04</v>
      </c>
      <c r="E248" s="2">
        <f>IF(MOD(ROW()-2,2)=0, INDEX('[1]2310008001-eng'!$B$13:$B$288, (ROW()-2)/2+1), INDEX('[1]2310008001-eng'!$C$13:$C$288, (ROW()-2)/2+1))*1000</f>
        <v>652203000</v>
      </c>
      <c r="F248" s="2">
        <f>IF(MOD(ROW()-2,2)=0, INDEX('[2]1710000901-eng'!$B$12:$B$73, INT((ROW()-2)/6)+1), INDEX('[2]1710000901-eng'!$C$12:$C$73, INT((ROW()-2)/6)+1))</f>
        <v>7982145</v>
      </c>
      <c r="G248">
        <f t="shared" si="48"/>
        <v>81.707736454298939</v>
      </c>
      <c r="H248">
        <v>1</v>
      </c>
      <c r="I248">
        <v>1</v>
      </c>
      <c r="J248">
        <f t="shared" si="61"/>
        <v>1</v>
      </c>
      <c r="K248">
        <f t="shared" si="49"/>
        <v>0</v>
      </c>
      <c r="L248">
        <f t="shared" si="50"/>
        <v>0</v>
      </c>
      <c r="M248">
        <f t="shared" si="51"/>
        <v>0</v>
      </c>
      <c r="N248">
        <f t="shared" si="52"/>
        <v>1</v>
      </c>
      <c r="O248">
        <f t="shared" si="53"/>
        <v>0</v>
      </c>
      <c r="P248">
        <f t="shared" si="54"/>
        <v>0</v>
      </c>
      <c r="Q248">
        <f t="shared" si="55"/>
        <v>0</v>
      </c>
      <c r="R248">
        <f t="shared" si="56"/>
        <v>0</v>
      </c>
      <c r="S248">
        <f t="shared" si="57"/>
        <v>0</v>
      </c>
      <c r="T248">
        <f t="shared" si="58"/>
        <v>0</v>
      </c>
      <c r="U248">
        <f t="shared" si="59"/>
        <v>0</v>
      </c>
      <c r="V248">
        <f t="shared" si="60"/>
        <v>0</v>
      </c>
    </row>
    <row r="249" spans="1:22" x14ac:dyDescent="0.3">
      <c r="A249" t="s">
        <v>22</v>
      </c>
      <c r="B249">
        <v>2011</v>
      </c>
      <c r="C249">
        <v>4</v>
      </c>
      <c r="D249" t="str">
        <f t="shared" si="47"/>
        <v>2011-04</v>
      </c>
      <c r="E249" s="2">
        <f>IF(MOD(ROW()-2,2)=0, INDEX('[1]2310008001-eng'!$B$13:$B$288, (ROW()-2)/2+1), INDEX('[1]2310008001-eng'!$C$13:$C$288, (ROW()-2)/2+1))*1000</f>
        <v>1227390000</v>
      </c>
      <c r="F249" s="2">
        <f>IF(MOD(ROW()-2,2)=0, INDEX('[2]1710000901-eng'!$B$12:$B$73, INT((ROW()-2)/6)+1), INDEX('[2]1710000901-eng'!$C$12:$C$73, INT((ROW()-2)/6)+1))</f>
        <v>13222146</v>
      </c>
      <c r="G249">
        <f t="shared" si="48"/>
        <v>92.828350254187185</v>
      </c>
      <c r="H249">
        <v>0</v>
      </c>
      <c r="I249">
        <v>1</v>
      </c>
      <c r="J249">
        <f t="shared" si="61"/>
        <v>0</v>
      </c>
      <c r="K249">
        <f t="shared" si="49"/>
        <v>0</v>
      </c>
      <c r="L249">
        <f t="shared" si="50"/>
        <v>0</v>
      </c>
      <c r="M249">
        <f t="shared" si="51"/>
        <v>0</v>
      </c>
      <c r="N249">
        <f t="shared" si="52"/>
        <v>1</v>
      </c>
      <c r="O249">
        <f t="shared" si="53"/>
        <v>0</v>
      </c>
      <c r="P249">
        <f t="shared" si="54"/>
        <v>0</v>
      </c>
      <c r="Q249">
        <f t="shared" si="55"/>
        <v>0</v>
      </c>
      <c r="R249">
        <f t="shared" si="56"/>
        <v>0</v>
      </c>
      <c r="S249">
        <f t="shared" si="57"/>
        <v>0</v>
      </c>
      <c r="T249">
        <f t="shared" si="58"/>
        <v>0</v>
      </c>
      <c r="U249">
        <f t="shared" si="59"/>
        <v>0</v>
      </c>
      <c r="V249">
        <f t="shared" si="60"/>
        <v>0</v>
      </c>
    </row>
    <row r="250" spans="1:22" x14ac:dyDescent="0.3">
      <c r="A250" t="s">
        <v>7</v>
      </c>
      <c r="B250">
        <v>2011</v>
      </c>
      <c r="C250">
        <v>5</v>
      </c>
      <c r="D250" t="str">
        <f t="shared" si="47"/>
        <v>2011-05</v>
      </c>
      <c r="E250" s="2">
        <f>IF(MOD(ROW()-2,2)=0, INDEX('[1]2310008001-eng'!$B$13:$B$288, (ROW()-2)/2+1), INDEX('[1]2310008001-eng'!$C$13:$C$288, (ROW()-2)/2+1))*1000</f>
        <v>735028000</v>
      </c>
      <c r="F250" s="2">
        <f>IF(MOD(ROW()-2,2)=0, INDEX('[2]1710000901-eng'!$B$12:$B$73, INT((ROW()-2)/6)+1), INDEX('[2]1710000901-eng'!$C$12:$C$73, INT((ROW()-2)/6)+1))</f>
        <v>7982145</v>
      </c>
      <c r="G250">
        <f t="shared" si="48"/>
        <v>92.084020022187019</v>
      </c>
      <c r="H250">
        <v>1</v>
      </c>
      <c r="I250">
        <v>1</v>
      </c>
      <c r="J250">
        <f t="shared" si="61"/>
        <v>1</v>
      </c>
      <c r="K250">
        <f t="shared" si="49"/>
        <v>0</v>
      </c>
      <c r="L250">
        <f t="shared" si="50"/>
        <v>0</v>
      </c>
      <c r="M250">
        <f t="shared" si="51"/>
        <v>0</v>
      </c>
      <c r="N250">
        <f t="shared" si="52"/>
        <v>0</v>
      </c>
      <c r="O250">
        <f t="shared" si="53"/>
        <v>1</v>
      </c>
      <c r="P250">
        <f t="shared" si="54"/>
        <v>0</v>
      </c>
      <c r="Q250">
        <f t="shared" si="55"/>
        <v>0</v>
      </c>
      <c r="R250">
        <f t="shared" si="56"/>
        <v>0</v>
      </c>
      <c r="S250">
        <f t="shared" si="57"/>
        <v>0</v>
      </c>
      <c r="T250">
        <f t="shared" si="58"/>
        <v>0</v>
      </c>
      <c r="U250">
        <f t="shared" si="59"/>
        <v>0</v>
      </c>
      <c r="V250">
        <f t="shared" si="60"/>
        <v>0</v>
      </c>
    </row>
    <row r="251" spans="1:22" x14ac:dyDescent="0.3">
      <c r="A251" t="s">
        <v>22</v>
      </c>
      <c r="B251">
        <v>2011</v>
      </c>
      <c r="C251">
        <v>5</v>
      </c>
      <c r="D251" t="str">
        <f t="shared" si="47"/>
        <v>2011-05</v>
      </c>
      <c r="E251" s="2">
        <f>IF(MOD(ROW()-2,2)=0, INDEX('[1]2310008001-eng'!$B$13:$B$288, (ROW()-2)/2+1), INDEX('[1]2310008001-eng'!$C$13:$C$288, (ROW()-2)/2+1))*1000</f>
        <v>1325009000</v>
      </c>
      <c r="F251" s="2">
        <f>IF(MOD(ROW()-2,2)=0, INDEX('[2]1710000901-eng'!$B$12:$B$73, INT((ROW()-2)/6)+1), INDEX('[2]1710000901-eng'!$C$12:$C$73, INT((ROW()-2)/6)+1))</f>
        <v>13222146</v>
      </c>
      <c r="G251">
        <f t="shared" si="48"/>
        <v>100.21134239479734</v>
      </c>
      <c r="H251">
        <v>0</v>
      </c>
      <c r="I251">
        <v>1</v>
      </c>
      <c r="J251">
        <f t="shared" si="61"/>
        <v>0</v>
      </c>
      <c r="K251">
        <f t="shared" si="49"/>
        <v>0</v>
      </c>
      <c r="L251">
        <f t="shared" si="50"/>
        <v>0</v>
      </c>
      <c r="M251">
        <f t="shared" si="51"/>
        <v>0</v>
      </c>
      <c r="N251">
        <f t="shared" si="52"/>
        <v>0</v>
      </c>
      <c r="O251">
        <f t="shared" si="53"/>
        <v>1</v>
      </c>
      <c r="P251">
        <f t="shared" si="54"/>
        <v>0</v>
      </c>
      <c r="Q251">
        <f t="shared" si="55"/>
        <v>0</v>
      </c>
      <c r="R251">
        <f t="shared" si="56"/>
        <v>0</v>
      </c>
      <c r="S251">
        <f t="shared" si="57"/>
        <v>0</v>
      </c>
      <c r="T251">
        <f t="shared" si="58"/>
        <v>0</v>
      </c>
      <c r="U251">
        <f t="shared" si="59"/>
        <v>0</v>
      </c>
      <c r="V251">
        <f t="shared" si="60"/>
        <v>0</v>
      </c>
    </row>
    <row r="252" spans="1:22" x14ac:dyDescent="0.3">
      <c r="A252" t="s">
        <v>7</v>
      </c>
      <c r="B252">
        <v>2011</v>
      </c>
      <c r="C252">
        <v>6</v>
      </c>
      <c r="D252" t="str">
        <f t="shared" si="47"/>
        <v>2011-06</v>
      </c>
      <c r="E252" s="2">
        <f>IF(MOD(ROW()-2,2)=0, INDEX('[1]2310008001-eng'!$B$13:$B$288, (ROW()-2)/2+1), INDEX('[1]2310008001-eng'!$C$13:$C$288, (ROW()-2)/2+1))*1000</f>
        <v>742298000</v>
      </c>
      <c r="F252" s="2">
        <f>IF(MOD(ROW()-2,2)=0, INDEX('[2]1710000901-eng'!$B$12:$B$73, INT((ROW()-2)/6)+1), INDEX('[2]1710000901-eng'!$C$12:$C$73, INT((ROW()-2)/6)+1))</f>
        <v>7982145</v>
      </c>
      <c r="G252">
        <f t="shared" si="48"/>
        <v>92.994802775444441</v>
      </c>
      <c r="H252">
        <v>1</v>
      </c>
      <c r="I252">
        <v>1</v>
      </c>
      <c r="J252">
        <f t="shared" si="61"/>
        <v>1</v>
      </c>
      <c r="K252">
        <f t="shared" si="49"/>
        <v>0</v>
      </c>
      <c r="L252">
        <f t="shared" si="50"/>
        <v>0</v>
      </c>
      <c r="M252">
        <f t="shared" si="51"/>
        <v>0</v>
      </c>
      <c r="N252">
        <f t="shared" si="52"/>
        <v>0</v>
      </c>
      <c r="O252">
        <f t="shared" si="53"/>
        <v>0</v>
      </c>
      <c r="P252">
        <f t="shared" si="54"/>
        <v>1</v>
      </c>
      <c r="Q252">
        <f t="shared" si="55"/>
        <v>0</v>
      </c>
      <c r="R252">
        <f t="shared" si="56"/>
        <v>0</v>
      </c>
      <c r="S252">
        <f t="shared" si="57"/>
        <v>0</v>
      </c>
      <c r="T252">
        <f t="shared" si="58"/>
        <v>0</v>
      </c>
      <c r="U252">
        <f t="shared" si="59"/>
        <v>0</v>
      </c>
      <c r="V252">
        <f t="shared" si="60"/>
        <v>0</v>
      </c>
    </row>
    <row r="253" spans="1:22" x14ac:dyDescent="0.3">
      <c r="A253" t="s">
        <v>22</v>
      </c>
      <c r="B253">
        <v>2011</v>
      </c>
      <c r="C253">
        <v>6</v>
      </c>
      <c r="D253" t="str">
        <f t="shared" si="47"/>
        <v>2011-06</v>
      </c>
      <c r="E253" s="2">
        <f>IF(MOD(ROW()-2,2)=0, INDEX('[1]2310008001-eng'!$B$13:$B$288, (ROW()-2)/2+1), INDEX('[1]2310008001-eng'!$C$13:$C$288, (ROW()-2)/2+1))*1000</f>
        <v>1356517000</v>
      </c>
      <c r="F253" s="2">
        <f>IF(MOD(ROW()-2,2)=0, INDEX('[2]1710000901-eng'!$B$12:$B$73, INT((ROW()-2)/6)+1), INDEX('[2]1710000901-eng'!$C$12:$C$73, INT((ROW()-2)/6)+1))</f>
        <v>13222146</v>
      </c>
      <c r="G253">
        <f t="shared" si="48"/>
        <v>102.5943141151217</v>
      </c>
      <c r="H253">
        <v>0</v>
      </c>
      <c r="I253">
        <v>1</v>
      </c>
      <c r="J253">
        <f t="shared" si="61"/>
        <v>0</v>
      </c>
      <c r="K253">
        <f t="shared" si="49"/>
        <v>0</v>
      </c>
      <c r="L253">
        <f t="shared" si="50"/>
        <v>0</v>
      </c>
      <c r="M253">
        <f t="shared" si="51"/>
        <v>0</v>
      </c>
      <c r="N253">
        <f t="shared" si="52"/>
        <v>0</v>
      </c>
      <c r="O253">
        <f t="shared" si="53"/>
        <v>0</v>
      </c>
      <c r="P253">
        <f t="shared" si="54"/>
        <v>1</v>
      </c>
      <c r="Q253">
        <f t="shared" si="55"/>
        <v>0</v>
      </c>
      <c r="R253">
        <f t="shared" si="56"/>
        <v>0</v>
      </c>
      <c r="S253">
        <f t="shared" si="57"/>
        <v>0</v>
      </c>
      <c r="T253">
        <f t="shared" si="58"/>
        <v>0</v>
      </c>
      <c r="U253">
        <f t="shared" si="59"/>
        <v>0</v>
      </c>
      <c r="V253">
        <f t="shared" si="60"/>
        <v>0</v>
      </c>
    </row>
    <row r="254" spans="1:22" x14ac:dyDescent="0.3">
      <c r="A254" t="s">
        <v>7</v>
      </c>
      <c r="B254">
        <v>2011</v>
      </c>
      <c r="C254">
        <v>7</v>
      </c>
      <c r="D254" t="str">
        <f t="shared" si="47"/>
        <v>2011-07</v>
      </c>
      <c r="E254" s="2">
        <f>IF(MOD(ROW()-2,2)=0, INDEX('[1]2310008001-eng'!$B$13:$B$288, (ROW()-2)/2+1), INDEX('[1]2310008001-eng'!$C$13:$C$288, (ROW()-2)/2+1))*1000</f>
        <v>739929000</v>
      </c>
      <c r="F254" s="2">
        <f>IF(MOD(ROW()-2,2)=0, INDEX('[2]1710000901-eng'!$B$12:$B$73, INT((ROW()-2)/6)+1), INDEX('[2]1710000901-eng'!$C$12:$C$73, INT((ROW()-2)/6)+1))</f>
        <v>8004736</v>
      </c>
      <c r="G254">
        <f t="shared" si="48"/>
        <v>92.436402649631418</v>
      </c>
      <c r="H254">
        <v>1</v>
      </c>
      <c r="I254">
        <v>1</v>
      </c>
      <c r="J254">
        <f t="shared" si="61"/>
        <v>1</v>
      </c>
      <c r="K254">
        <f t="shared" si="49"/>
        <v>0</v>
      </c>
      <c r="L254">
        <f t="shared" si="50"/>
        <v>0</v>
      </c>
      <c r="M254">
        <f t="shared" si="51"/>
        <v>0</v>
      </c>
      <c r="N254">
        <f t="shared" si="52"/>
        <v>0</v>
      </c>
      <c r="O254">
        <f t="shared" si="53"/>
        <v>0</v>
      </c>
      <c r="P254">
        <f t="shared" si="54"/>
        <v>0</v>
      </c>
      <c r="Q254">
        <f t="shared" si="55"/>
        <v>1</v>
      </c>
      <c r="R254">
        <f t="shared" si="56"/>
        <v>0</v>
      </c>
      <c r="S254">
        <f t="shared" si="57"/>
        <v>0</v>
      </c>
      <c r="T254">
        <f t="shared" si="58"/>
        <v>0</v>
      </c>
      <c r="U254">
        <f t="shared" si="59"/>
        <v>0</v>
      </c>
      <c r="V254">
        <f t="shared" si="60"/>
        <v>0</v>
      </c>
    </row>
    <row r="255" spans="1:22" x14ac:dyDescent="0.3">
      <c r="A255" t="s">
        <v>22</v>
      </c>
      <c r="B255">
        <v>2011</v>
      </c>
      <c r="C255">
        <v>7</v>
      </c>
      <c r="D255" t="str">
        <f t="shared" si="47"/>
        <v>2011-07</v>
      </c>
      <c r="E255" s="2">
        <f>IF(MOD(ROW()-2,2)=0, INDEX('[1]2310008001-eng'!$B$13:$B$288, (ROW()-2)/2+1), INDEX('[1]2310008001-eng'!$C$13:$C$288, (ROW()-2)/2+1))*1000</f>
        <v>1367352000</v>
      </c>
      <c r="F255" s="2">
        <f>IF(MOD(ROW()-2,2)=0, INDEX('[2]1710000901-eng'!$B$12:$B$73, INT((ROW()-2)/6)+1), INDEX('[2]1710000901-eng'!$C$12:$C$73, INT((ROW()-2)/6)+1))</f>
        <v>13262345</v>
      </c>
      <c r="G255">
        <f t="shared" si="48"/>
        <v>103.10031898582038</v>
      </c>
      <c r="H255">
        <v>0</v>
      </c>
      <c r="I255">
        <v>1</v>
      </c>
      <c r="J255">
        <f t="shared" si="61"/>
        <v>0</v>
      </c>
      <c r="K255">
        <f t="shared" si="49"/>
        <v>0</v>
      </c>
      <c r="L255">
        <f t="shared" si="50"/>
        <v>0</v>
      </c>
      <c r="M255">
        <f t="shared" si="51"/>
        <v>0</v>
      </c>
      <c r="N255">
        <f t="shared" si="52"/>
        <v>0</v>
      </c>
      <c r="O255">
        <f t="shared" si="53"/>
        <v>0</v>
      </c>
      <c r="P255">
        <f t="shared" si="54"/>
        <v>0</v>
      </c>
      <c r="Q255">
        <f t="shared" si="55"/>
        <v>1</v>
      </c>
      <c r="R255">
        <f t="shared" si="56"/>
        <v>0</v>
      </c>
      <c r="S255">
        <f t="shared" si="57"/>
        <v>0</v>
      </c>
      <c r="T255">
        <f t="shared" si="58"/>
        <v>0</v>
      </c>
      <c r="U255">
        <f t="shared" si="59"/>
        <v>0</v>
      </c>
      <c r="V255">
        <f t="shared" si="60"/>
        <v>0</v>
      </c>
    </row>
    <row r="256" spans="1:22" x14ac:dyDescent="0.3">
      <c r="A256" t="s">
        <v>7</v>
      </c>
      <c r="B256">
        <v>2011</v>
      </c>
      <c r="C256">
        <v>8</v>
      </c>
      <c r="D256" t="str">
        <f t="shared" si="47"/>
        <v>2011-08</v>
      </c>
      <c r="E256" s="2">
        <f>IF(MOD(ROW()-2,2)=0, INDEX('[1]2310008001-eng'!$B$13:$B$288, (ROW()-2)/2+1), INDEX('[1]2310008001-eng'!$C$13:$C$288, (ROW()-2)/2+1))*1000</f>
        <v>749247000</v>
      </c>
      <c r="F256" s="2">
        <f>IF(MOD(ROW()-2,2)=0, INDEX('[2]1710000901-eng'!$B$12:$B$73, INT((ROW()-2)/6)+1), INDEX('[2]1710000901-eng'!$C$12:$C$73, INT((ROW()-2)/6)+1))</f>
        <v>8004736</v>
      </c>
      <c r="G256">
        <f t="shared" si="48"/>
        <v>93.600463525592843</v>
      </c>
      <c r="H256">
        <v>1</v>
      </c>
      <c r="I256">
        <v>1</v>
      </c>
      <c r="J256">
        <f t="shared" si="61"/>
        <v>1</v>
      </c>
      <c r="K256">
        <f t="shared" si="49"/>
        <v>0</v>
      </c>
      <c r="L256">
        <f t="shared" si="50"/>
        <v>0</v>
      </c>
      <c r="M256">
        <f t="shared" si="51"/>
        <v>0</v>
      </c>
      <c r="N256">
        <f t="shared" si="52"/>
        <v>0</v>
      </c>
      <c r="O256">
        <f t="shared" si="53"/>
        <v>0</v>
      </c>
      <c r="P256">
        <f t="shared" si="54"/>
        <v>0</v>
      </c>
      <c r="Q256">
        <f t="shared" si="55"/>
        <v>0</v>
      </c>
      <c r="R256">
        <f t="shared" si="56"/>
        <v>1</v>
      </c>
      <c r="S256">
        <f t="shared" si="57"/>
        <v>0</v>
      </c>
      <c r="T256">
        <f t="shared" si="58"/>
        <v>0</v>
      </c>
      <c r="U256">
        <f t="shared" si="59"/>
        <v>0</v>
      </c>
      <c r="V256">
        <f t="shared" si="60"/>
        <v>0</v>
      </c>
    </row>
    <row r="257" spans="1:22" x14ac:dyDescent="0.3">
      <c r="A257" t="s">
        <v>22</v>
      </c>
      <c r="B257">
        <v>2011</v>
      </c>
      <c r="C257">
        <v>8</v>
      </c>
      <c r="D257" t="str">
        <f t="shared" si="47"/>
        <v>2011-08</v>
      </c>
      <c r="E257" s="2">
        <f>IF(MOD(ROW()-2,2)=0, INDEX('[1]2310008001-eng'!$B$13:$B$288, (ROW()-2)/2+1), INDEX('[1]2310008001-eng'!$C$13:$C$288, (ROW()-2)/2+1))*1000</f>
        <v>1388208000</v>
      </c>
      <c r="F257" s="2">
        <f>IF(MOD(ROW()-2,2)=0, INDEX('[2]1710000901-eng'!$B$12:$B$73, INT((ROW()-2)/6)+1), INDEX('[2]1710000901-eng'!$C$12:$C$73, INT((ROW()-2)/6)+1))</f>
        <v>13262345</v>
      </c>
      <c r="G257">
        <f t="shared" si="48"/>
        <v>104.67289155877033</v>
      </c>
      <c r="H257">
        <v>0</v>
      </c>
      <c r="I257">
        <v>1</v>
      </c>
      <c r="J257">
        <f t="shared" si="61"/>
        <v>0</v>
      </c>
      <c r="K257">
        <f t="shared" si="49"/>
        <v>0</v>
      </c>
      <c r="L257">
        <f t="shared" si="50"/>
        <v>0</v>
      </c>
      <c r="M257">
        <f t="shared" si="51"/>
        <v>0</v>
      </c>
      <c r="N257">
        <f t="shared" si="52"/>
        <v>0</v>
      </c>
      <c r="O257">
        <f t="shared" si="53"/>
        <v>0</v>
      </c>
      <c r="P257">
        <f t="shared" si="54"/>
        <v>0</v>
      </c>
      <c r="Q257">
        <f t="shared" si="55"/>
        <v>0</v>
      </c>
      <c r="R257">
        <f t="shared" si="56"/>
        <v>1</v>
      </c>
      <c r="S257">
        <f t="shared" si="57"/>
        <v>0</v>
      </c>
      <c r="T257">
        <f t="shared" si="58"/>
        <v>0</v>
      </c>
      <c r="U257">
        <f t="shared" si="59"/>
        <v>0</v>
      </c>
      <c r="V257">
        <f t="shared" si="60"/>
        <v>0</v>
      </c>
    </row>
    <row r="258" spans="1:22" x14ac:dyDescent="0.3">
      <c r="A258" t="s">
        <v>7</v>
      </c>
      <c r="B258">
        <v>2011</v>
      </c>
      <c r="C258">
        <v>9</v>
      </c>
      <c r="D258" t="str">
        <f t="shared" si="47"/>
        <v>2011-09</v>
      </c>
      <c r="E258" s="2">
        <f>IF(MOD(ROW()-2,2)=0, INDEX('[1]2310008001-eng'!$B$13:$B$288, (ROW()-2)/2+1), INDEX('[1]2310008001-eng'!$C$13:$C$288, (ROW()-2)/2+1))*1000</f>
        <v>681864000</v>
      </c>
      <c r="F258" s="2">
        <f>IF(MOD(ROW()-2,2)=0, INDEX('[2]1710000901-eng'!$B$12:$B$73, INT((ROW()-2)/6)+1), INDEX('[2]1710000901-eng'!$C$12:$C$73, INT((ROW()-2)/6)+1))</f>
        <v>8004736</v>
      </c>
      <c r="G258">
        <f t="shared" si="48"/>
        <v>85.18257191742488</v>
      </c>
      <c r="H258">
        <v>1</v>
      </c>
      <c r="I258">
        <v>1</v>
      </c>
      <c r="J258">
        <f t="shared" si="61"/>
        <v>1</v>
      </c>
      <c r="K258">
        <f t="shared" si="49"/>
        <v>0</v>
      </c>
      <c r="L258">
        <f t="shared" si="50"/>
        <v>0</v>
      </c>
      <c r="M258">
        <f t="shared" si="51"/>
        <v>0</v>
      </c>
      <c r="N258">
        <f t="shared" si="52"/>
        <v>0</v>
      </c>
      <c r="O258">
        <f t="shared" si="53"/>
        <v>0</v>
      </c>
      <c r="P258">
        <f t="shared" si="54"/>
        <v>0</v>
      </c>
      <c r="Q258">
        <f t="shared" si="55"/>
        <v>0</v>
      </c>
      <c r="R258">
        <f t="shared" si="56"/>
        <v>0</v>
      </c>
      <c r="S258">
        <f t="shared" si="57"/>
        <v>1</v>
      </c>
      <c r="T258">
        <f t="shared" si="58"/>
        <v>0</v>
      </c>
      <c r="U258">
        <f t="shared" si="59"/>
        <v>0</v>
      </c>
      <c r="V258">
        <f t="shared" si="60"/>
        <v>0</v>
      </c>
    </row>
    <row r="259" spans="1:22" x14ac:dyDescent="0.3">
      <c r="A259" t="s">
        <v>22</v>
      </c>
      <c r="B259">
        <v>2011</v>
      </c>
      <c r="C259">
        <v>9</v>
      </c>
      <c r="D259" t="str">
        <f t="shared" ref="D259:D289" si="62">TEXT(DATE(B259,C259,1),"yyyy-mm")</f>
        <v>2011-09</v>
      </c>
      <c r="E259" s="2">
        <f>IF(MOD(ROW()-2,2)=0, INDEX('[1]2310008001-eng'!$B$13:$B$288, (ROW()-2)/2+1), INDEX('[1]2310008001-eng'!$C$13:$C$288, (ROW()-2)/2+1))*1000</f>
        <v>1271238000</v>
      </c>
      <c r="F259" s="2">
        <f>IF(MOD(ROW()-2,2)=0, INDEX('[2]1710000901-eng'!$B$12:$B$73, INT((ROW()-2)/6)+1), INDEX('[2]1710000901-eng'!$C$12:$C$73, INT((ROW()-2)/6)+1))</f>
        <v>13262345</v>
      </c>
      <c r="G259">
        <f t="shared" ref="G259:G289" si="63">E259/F259</f>
        <v>95.853184335047843</v>
      </c>
      <c r="H259">
        <v>0</v>
      </c>
      <c r="I259">
        <v>1</v>
      </c>
      <c r="J259">
        <f t="shared" si="61"/>
        <v>0</v>
      </c>
      <c r="K259">
        <f t="shared" ref="K259:K289" si="64">IF(C259=1,1,0)</f>
        <v>0</v>
      </c>
      <c r="L259">
        <f t="shared" ref="L259:L289" si="65">IF(C259=2,1,0)</f>
        <v>0</v>
      </c>
      <c r="M259">
        <f t="shared" ref="M259:M289" si="66">IF(C259=3,1,0)</f>
        <v>0</v>
      </c>
      <c r="N259">
        <f t="shared" ref="N259:N289" si="67">IF(C259=4,1,0)</f>
        <v>0</v>
      </c>
      <c r="O259">
        <f t="shared" ref="O259:O289" si="68">IF(C259=5,1,0)</f>
        <v>0</v>
      </c>
      <c r="P259">
        <f t="shared" ref="P259:P289" si="69">IF(C259=6,1,0)</f>
        <v>0</v>
      </c>
      <c r="Q259">
        <f t="shared" ref="Q259:Q289" si="70">IF(C259=7,1,0)</f>
        <v>0</v>
      </c>
      <c r="R259">
        <f t="shared" ref="R259:R289" si="71">IF(C259=8,1,0)</f>
        <v>0</v>
      </c>
      <c r="S259">
        <f t="shared" ref="S259:S289" si="72">IF(C259=9,1,0)</f>
        <v>1</v>
      </c>
      <c r="T259">
        <f t="shared" ref="T259:T289" si="73">IF(C259=10,1,0)</f>
        <v>0</v>
      </c>
      <c r="U259">
        <f t="shared" ref="U259:U289" si="74">IF(C259=11,1,0)</f>
        <v>0</v>
      </c>
      <c r="V259">
        <f t="shared" ref="V259:V289" si="75">IF(C259=12,1,0)</f>
        <v>0</v>
      </c>
    </row>
    <row r="260" spans="1:22" x14ac:dyDescent="0.3">
      <c r="A260" t="s">
        <v>7</v>
      </c>
      <c r="B260">
        <v>2011</v>
      </c>
      <c r="C260">
        <v>10</v>
      </c>
      <c r="D260" t="str">
        <f t="shared" si="62"/>
        <v>2011-10</v>
      </c>
      <c r="E260" s="2">
        <f>IF(MOD(ROW()-2,2)=0, INDEX('[1]2310008001-eng'!$B$13:$B$288, (ROW()-2)/2+1), INDEX('[1]2310008001-eng'!$C$13:$C$288, (ROW()-2)/2+1))*1000</f>
        <v>689131000</v>
      </c>
      <c r="F260" s="2">
        <f>IF(MOD(ROW()-2,2)=0, INDEX('[2]1710000901-eng'!$B$12:$B$73, INT((ROW()-2)/6)+1), INDEX('[2]1710000901-eng'!$C$12:$C$73, INT((ROW()-2)/6)+1))</f>
        <v>8021063</v>
      </c>
      <c r="G260">
        <f t="shared" si="63"/>
        <v>85.915171093906139</v>
      </c>
      <c r="H260">
        <v>1</v>
      </c>
      <c r="I260">
        <v>1</v>
      </c>
      <c r="J260">
        <f t="shared" si="61"/>
        <v>1</v>
      </c>
      <c r="K260">
        <f t="shared" si="64"/>
        <v>0</v>
      </c>
      <c r="L260">
        <f t="shared" si="65"/>
        <v>0</v>
      </c>
      <c r="M260">
        <f t="shared" si="66"/>
        <v>0</v>
      </c>
      <c r="N260">
        <f t="shared" si="67"/>
        <v>0</v>
      </c>
      <c r="O260">
        <f t="shared" si="68"/>
        <v>0</v>
      </c>
      <c r="P260">
        <f t="shared" si="69"/>
        <v>0</v>
      </c>
      <c r="Q260">
        <f t="shared" si="70"/>
        <v>0</v>
      </c>
      <c r="R260">
        <f t="shared" si="71"/>
        <v>0</v>
      </c>
      <c r="S260">
        <f t="shared" si="72"/>
        <v>0</v>
      </c>
      <c r="T260">
        <f t="shared" si="73"/>
        <v>1</v>
      </c>
      <c r="U260">
        <f t="shared" si="74"/>
        <v>0</v>
      </c>
      <c r="V260">
        <f t="shared" si="75"/>
        <v>0</v>
      </c>
    </row>
    <row r="261" spans="1:22" x14ac:dyDescent="0.3">
      <c r="A261" t="s">
        <v>22</v>
      </c>
      <c r="B261">
        <v>2011</v>
      </c>
      <c r="C261">
        <v>10</v>
      </c>
      <c r="D261" t="str">
        <f t="shared" si="62"/>
        <v>2011-10</v>
      </c>
      <c r="E261" s="2">
        <f>IF(MOD(ROW()-2,2)=0, INDEX('[1]2310008001-eng'!$B$13:$B$288, (ROW()-2)/2+1), INDEX('[1]2310008001-eng'!$C$13:$C$288, (ROW()-2)/2+1))*1000</f>
        <v>1336044000</v>
      </c>
      <c r="F261" s="2">
        <f>IF(MOD(ROW()-2,2)=0, INDEX('[2]1710000901-eng'!$B$12:$B$73, INT((ROW()-2)/6)+1), INDEX('[2]1710000901-eng'!$C$12:$C$73, INT((ROW()-2)/6)+1))</f>
        <v>13310604</v>
      </c>
      <c r="G261">
        <f t="shared" si="63"/>
        <v>100.37440825375016</v>
      </c>
      <c r="H261">
        <v>0</v>
      </c>
      <c r="I261">
        <v>1</v>
      </c>
      <c r="J261">
        <f t="shared" si="61"/>
        <v>0</v>
      </c>
      <c r="K261">
        <f t="shared" si="64"/>
        <v>0</v>
      </c>
      <c r="L261">
        <f t="shared" si="65"/>
        <v>0</v>
      </c>
      <c r="M261">
        <f t="shared" si="66"/>
        <v>0</v>
      </c>
      <c r="N261">
        <f t="shared" si="67"/>
        <v>0</v>
      </c>
      <c r="O261">
        <f t="shared" si="68"/>
        <v>0</v>
      </c>
      <c r="P261">
        <f t="shared" si="69"/>
        <v>0</v>
      </c>
      <c r="Q261">
        <f t="shared" si="70"/>
        <v>0</v>
      </c>
      <c r="R261">
        <f t="shared" si="71"/>
        <v>0</v>
      </c>
      <c r="S261">
        <f t="shared" si="72"/>
        <v>0</v>
      </c>
      <c r="T261">
        <f t="shared" si="73"/>
        <v>1</v>
      </c>
      <c r="U261">
        <f t="shared" si="74"/>
        <v>0</v>
      </c>
      <c r="V261">
        <f t="shared" si="75"/>
        <v>0</v>
      </c>
    </row>
    <row r="262" spans="1:22" x14ac:dyDescent="0.3">
      <c r="A262" t="s">
        <v>7</v>
      </c>
      <c r="B262">
        <v>2011</v>
      </c>
      <c r="C262">
        <v>11</v>
      </c>
      <c r="D262" t="str">
        <f t="shared" si="62"/>
        <v>2011-11</v>
      </c>
      <c r="E262" s="2">
        <f>IF(MOD(ROW()-2,2)=0, INDEX('[1]2310008001-eng'!$B$13:$B$288, (ROW()-2)/2+1), INDEX('[1]2310008001-eng'!$C$13:$C$288, (ROW()-2)/2+1))*1000</f>
        <v>587564000</v>
      </c>
      <c r="F262" s="2">
        <f>IF(MOD(ROW()-2,2)=0, INDEX('[2]1710000901-eng'!$B$12:$B$73, INT((ROW()-2)/6)+1), INDEX('[2]1710000901-eng'!$C$12:$C$73, INT((ROW()-2)/6)+1))</f>
        <v>8021063</v>
      </c>
      <c r="G262">
        <f t="shared" si="63"/>
        <v>73.252634968706772</v>
      </c>
      <c r="H262">
        <v>1</v>
      </c>
      <c r="I262">
        <v>1</v>
      </c>
      <c r="J262">
        <f t="shared" si="61"/>
        <v>1</v>
      </c>
      <c r="K262">
        <f t="shared" si="64"/>
        <v>0</v>
      </c>
      <c r="L262">
        <f t="shared" si="65"/>
        <v>0</v>
      </c>
      <c r="M262">
        <f t="shared" si="66"/>
        <v>0</v>
      </c>
      <c r="N262">
        <f t="shared" si="67"/>
        <v>0</v>
      </c>
      <c r="O262">
        <f t="shared" si="68"/>
        <v>0</v>
      </c>
      <c r="P262">
        <f t="shared" si="69"/>
        <v>0</v>
      </c>
      <c r="Q262">
        <f t="shared" si="70"/>
        <v>0</v>
      </c>
      <c r="R262">
        <f t="shared" si="71"/>
        <v>0</v>
      </c>
      <c r="S262">
        <f t="shared" si="72"/>
        <v>0</v>
      </c>
      <c r="T262">
        <f t="shared" si="73"/>
        <v>0</v>
      </c>
      <c r="U262">
        <f t="shared" si="74"/>
        <v>1</v>
      </c>
      <c r="V262">
        <f t="shared" si="75"/>
        <v>0</v>
      </c>
    </row>
    <row r="263" spans="1:22" x14ac:dyDescent="0.3">
      <c r="A263" t="s">
        <v>22</v>
      </c>
      <c r="B263">
        <v>2011</v>
      </c>
      <c r="C263">
        <v>11</v>
      </c>
      <c r="D263" t="str">
        <f t="shared" si="62"/>
        <v>2011-11</v>
      </c>
      <c r="E263" s="2">
        <f>IF(MOD(ROW()-2,2)=0, INDEX('[1]2310008001-eng'!$B$13:$B$288, (ROW()-2)/2+1), INDEX('[1]2310008001-eng'!$C$13:$C$288, (ROW()-2)/2+1))*1000</f>
        <v>1308833000</v>
      </c>
      <c r="F263" s="2">
        <f>IF(MOD(ROW()-2,2)=0, INDEX('[2]1710000901-eng'!$B$12:$B$73, INT((ROW()-2)/6)+1), INDEX('[2]1710000901-eng'!$C$12:$C$73, INT((ROW()-2)/6)+1))</f>
        <v>13310604</v>
      </c>
      <c r="G263">
        <f t="shared" si="63"/>
        <v>98.330098318603717</v>
      </c>
      <c r="H263">
        <v>0</v>
      </c>
      <c r="I263">
        <v>1</v>
      </c>
      <c r="J263">
        <f t="shared" si="61"/>
        <v>0</v>
      </c>
      <c r="K263">
        <f t="shared" si="64"/>
        <v>0</v>
      </c>
      <c r="L263">
        <f t="shared" si="65"/>
        <v>0</v>
      </c>
      <c r="M263">
        <f t="shared" si="66"/>
        <v>0</v>
      </c>
      <c r="N263">
        <f t="shared" si="67"/>
        <v>0</v>
      </c>
      <c r="O263">
        <f t="shared" si="68"/>
        <v>0</v>
      </c>
      <c r="P263">
        <f t="shared" si="69"/>
        <v>0</v>
      </c>
      <c r="Q263">
        <f t="shared" si="70"/>
        <v>0</v>
      </c>
      <c r="R263">
        <f t="shared" si="71"/>
        <v>0</v>
      </c>
      <c r="S263">
        <f t="shared" si="72"/>
        <v>0</v>
      </c>
      <c r="T263">
        <f t="shared" si="73"/>
        <v>0</v>
      </c>
      <c r="U263">
        <f t="shared" si="74"/>
        <v>1</v>
      </c>
      <c r="V263">
        <f t="shared" si="75"/>
        <v>0</v>
      </c>
    </row>
    <row r="264" spans="1:22" x14ac:dyDescent="0.3">
      <c r="A264" t="s">
        <v>7</v>
      </c>
      <c r="B264">
        <v>2011</v>
      </c>
      <c r="C264">
        <v>12</v>
      </c>
      <c r="D264" t="str">
        <f t="shared" si="62"/>
        <v>2011-12</v>
      </c>
      <c r="E264" s="2">
        <f>IF(MOD(ROW()-2,2)=0, INDEX('[1]2310008001-eng'!$B$13:$B$288, (ROW()-2)/2+1), INDEX('[1]2310008001-eng'!$C$13:$C$288, (ROW()-2)/2+1))*1000</f>
        <v>720480000</v>
      </c>
      <c r="F264" s="2">
        <f>IF(MOD(ROW()-2,2)=0, INDEX('[2]1710000901-eng'!$B$12:$B$73, INT((ROW()-2)/6)+1), INDEX('[2]1710000901-eng'!$C$12:$C$73, INT((ROW()-2)/6)+1))</f>
        <v>8021063</v>
      </c>
      <c r="G264">
        <f t="shared" si="63"/>
        <v>89.823505936806626</v>
      </c>
      <c r="H264">
        <v>1</v>
      </c>
      <c r="I264">
        <v>1</v>
      </c>
      <c r="J264">
        <f t="shared" si="61"/>
        <v>1</v>
      </c>
      <c r="K264">
        <f t="shared" si="64"/>
        <v>0</v>
      </c>
      <c r="L264">
        <f t="shared" si="65"/>
        <v>0</v>
      </c>
      <c r="M264">
        <f t="shared" si="66"/>
        <v>0</v>
      </c>
      <c r="N264">
        <f t="shared" si="67"/>
        <v>0</v>
      </c>
      <c r="O264">
        <f t="shared" si="68"/>
        <v>0</v>
      </c>
      <c r="P264">
        <f t="shared" si="69"/>
        <v>0</v>
      </c>
      <c r="Q264">
        <f t="shared" si="70"/>
        <v>0</v>
      </c>
      <c r="R264">
        <f t="shared" si="71"/>
        <v>0</v>
      </c>
      <c r="S264">
        <f t="shared" si="72"/>
        <v>0</v>
      </c>
      <c r="T264">
        <f t="shared" si="73"/>
        <v>0</v>
      </c>
      <c r="U264">
        <f t="shared" si="74"/>
        <v>0</v>
      </c>
      <c r="V264">
        <f t="shared" si="75"/>
        <v>1</v>
      </c>
    </row>
    <row r="265" spans="1:22" x14ac:dyDescent="0.3">
      <c r="A265" t="s">
        <v>22</v>
      </c>
      <c r="B265">
        <v>2011</v>
      </c>
      <c r="C265">
        <v>12</v>
      </c>
      <c r="D265" t="str">
        <f t="shared" si="62"/>
        <v>2011-12</v>
      </c>
      <c r="E265" s="2">
        <f>IF(MOD(ROW()-2,2)=0, INDEX('[1]2310008001-eng'!$B$13:$B$288, (ROW()-2)/2+1), INDEX('[1]2310008001-eng'!$C$13:$C$288, (ROW()-2)/2+1))*1000</f>
        <v>1328135000</v>
      </c>
      <c r="F265" s="2">
        <f>IF(MOD(ROW()-2,2)=0, INDEX('[2]1710000901-eng'!$B$12:$B$73, INT((ROW()-2)/6)+1), INDEX('[2]1710000901-eng'!$C$12:$C$73, INT((ROW()-2)/6)+1))</f>
        <v>13310604</v>
      </c>
      <c r="G265">
        <f t="shared" si="63"/>
        <v>99.780220341616356</v>
      </c>
      <c r="H265">
        <v>0</v>
      </c>
      <c r="I265">
        <v>1</v>
      </c>
      <c r="J265">
        <f t="shared" si="61"/>
        <v>0</v>
      </c>
      <c r="K265">
        <f t="shared" si="64"/>
        <v>0</v>
      </c>
      <c r="L265">
        <f t="shared" si="65"/>
        <v>0</v>
      </c>
      <c r="M265">
        <f t="shared" si="66"/>
        <v>0</v>
      </c>
      <c r="N265">
        <f t="shared" si="67"/>
        <v>0</v>
      </c>
      <c r="O265">
        <f t="shared" si="68"/>
        <v>0</v>
      </c>
      <c r="P265">
        <f t="shared" si="69"/>
        <v>0</v>
      </c>
      <c r="Q265">
        <f t="shared" si="70"/>
        <v>0</v>
      </c>
      <c r="R265">
        <f t="shared" si="71"/>
        <v>0</v>
      </c>
      <c r="S265">
        <f t="shared" si="72"/>
        <v>0</v>
      </c>
      <c r="T265">
        <f t="shared" si="73"/>
        <v>0</v>
      </c>
      <c r="U265">
        <f t="shared" si="74"/>
        <v>0</v>
      </c>
      <c r="V265">
        <f t="shared" si="75"/>
        <v>1</v>
      </c>
    </row>
    <row r="266" spans="1:22" x14ac:dyDescent="0.3">
      <c r="A266" t="s">
        <v>7</v>
      </c>
      <c r="B266">
        <v>2012</v>
      </c>
      <c r="C266">
        <v>1</v>
      </c>
      <c r="D266" t="str">
        <f t="shared" si="62"/>
        <v>2012-01</v>
      </c>
      <c r="E266" s="2">
        <f>IF(MOD(ROW()-2,2)=0, INDEX('[1]2310008001-eng'!$B$13:$B$288, (ROW()-2)/2+1), INDEX('[1]2310008001-eng'!$C$13:$C$288, (ROW()-2)/2+1))*1000</f>
        <v>667963000</v>
      </c>
      <c r="F266" s="2">
        <f>IF(MOD(ROW()-2,2)=0, INDEX('[2]1710000901-eng'!$B$12:$B$73, INT((ROW()-2)/6)+1), INDEX('[2]1710000901-eng'!$C$12:$C$73, INT((ROW()-2)/6)+1))</f>
        <v>8028516</v>
      </c>
      <c r="G266">
        <f t="shared" si="63"/>
        <v>83.198812831661542</v>
      </c>
      <c r="H266">
        <v>1</v>
      </c>
      <c r="I266">
        <v>1</v>
      </c>
      <c r="J266">
        <f t="shared" si="61"/>
        <v>1</v>
      </c>
      <c r="K266">
        <f t="shared" si="64"/>
        <v>1</v>
      </c>
      <c r="L266">
        <f t="shared" si="65"/>
        <v>0</v>
      </c>
      <c r="M266">
        <f t="shared" si="66"/>
        <v>0</v>
      </c>
      <c r="N266">
        <f t="shared" si="67"/>
        <v>0</v>
      </c>
      <c r="O266">
        <f t="shared" si="68"/>
        <v>0</v>
      </c>
      <c r="P266">
        <f t="shared" si="69"/>
        <v>0</v>
      </c>
      <c r="Q266">
        <f t="shared" si="70"/>
        <v>0</v>
      </c>
      <c r="R266">
        <f t="shared" si="71"/>
        <v>0</v>
      </c>
      <c r="S266">
        <f t="shared" si="72"/>
        <v>0</v>
      </c>
      <c r="T266">
        <f t="shared" si="73"/>
        <v>0</v>
      </c>
      <c r="U266">
        <f t="shared" si="74"/>
        <v>0</v>
      </c>
      <c r="V266">
        <f t="shared" si="75"/>
        <v>0</v>
      </c>
    </row>
    <row r="267" spans="1:22" x14ac:dyDescent="0.3">
      <c r="A267" t="s">
        <v>22</v>
      </c>
      <c r="B267">
        <v>2012</v>
      </c>
      <c r="C267">
        <v>1</v>
      </c>
      <c r="D267" t="str">
        <f t="shared" si="62"/>
        <v>2012-01</v>
      </c>
      <c r="E267" s="2">
        <f>IF(MOD(ROW()-2,2)=0, INDEX('[1]2310008001-eng'!$B$13:$B$288, (ROW()-2)/2+1), INDEX('[1]2310008001-eng'!$C$13:$C$288, (ROW()-2)/2+1))*1000</f>
        <v>1220569000</v>
      </c>
      <c r="F267" s="2">
        <f>IF(MOD(ROW()-2,2)=0, INDEX('[2]1710000901-eng'!$B$12:$B$73, INT((ROW()-2)/6)+1), INDEX('[2]1710000901-eng'!$C$12:$C$73, INT((ROW()-2)/6)+1))</f>
        <v>13325337</v>
      </c>
      <c r="G267">
        <f t="shared" si="63"/>
        <v>91.597608375683109</v>
      </c>
      <c r="H267">
        <v>0</v>
      </c>
      <c r="I267">
        <v>1</v>
      </c>
      <c r="J267">
        <f t="shared" si="61"/>
        <v>0</v>
      </c>
      <c r="K267">
        <f t="shared" si="64"/>
        <v>1</v>
      </c>
      <c r="L267">
        <f t="shared" si="65"/>
        <v>0</v>
      </c>
      <c r="M267">
        <f t="shared" si="66"/>
        <v>0</v>
      </c>
      <c r="N267">
        <f t="shared" si="67"/>
        <v>0</v>
      </c>
      <c r="O267">
        <f t="shared" si="68"/>
        <v>0</v>
      </c>
      <c r="P267">
        <f t="shared" si="69"/>
        <v>0</v>
      </c>
      <c r="Q267">
        <f t="shared" si="70"/>
        <v>0</v>
      </c>
      <c r="R267">
        <f t="shared" si="71"/>
        <v>0</v>
      </c>
      <c r="S267">
        <f t="shared" si="72"/>
        <v>0</v>
      </c>
      <c r="T267">
        <f t="shared" si="73"/>
        <v>0</v>
      </c>
      <c r="U267">
        <f t="shared" si="74"/>
        <v>0</v>
      </c>
      <c r="V267">
        <f t="shared" si="75"/>
        <v>0</v>
      </c>
    </row>
    <row r="268" spans="1:22" x14ac:dyDescent="0.3">
      <c r="A268" t="s">
        <v>7</v>
      </c>
      <c r="B268">
        <v>2012</v>
      </c>
      <c r="C268">
        <v>2</v>
      </c>
      <c r="D268" t="str">
        <f t="shared" si="62"/>
        <v>2012-02</v>
      </c>
      <c r="E268" s="2">
        <f>IF(MOD(ROW()-2,2)=0, INDEX('[1]2310008001-eng'!$B$13:$B$288, (ROW()-2)/2+1), INDEX('[1]2310008001-eng'!$C$13:$C$288, (ROW()-2)/2+1))*1000</f>
        <v>678610000</v>
      </c>
      <c r="F268" s="2">
        <f>IF(MOD(ROW()-2,2)=0, INDEX('[2]1710000901-eng'!$B$12:$B$73, INT((ROW()-2)/6)+1), INDEX('[2]1710000901-eng'!$C$12:$C$73, INT((ROW()-2)/6)+1))</f>
        <v>8028516</v>
      </c>
      <c r="G268">
        <f t="shared" si="63"/>
        <v>84.524960777309275</v>
      </c>
      <c r="H268">
        <v>1</v>
      </c>
      <c r="I268">
        <v>1</v>
      </c>
      <c r="J268">
        <f t="shared" si="61"/>
        <v>1</v>
      </c>
      <c r="K268">
        <f t="shared" si="64"/>
        <v>0</v>
      </c>
      <c r="L268">
        <f t="shared" si="65"/>
        <v>1</v>
      </c>
      <c r="M268">
        <f t="shared" si="66"/>
        <v>0</v>
      </c>
      <c r="N268">
        <f t="shared" si="67"/>
        <v>0</v>
      </c>
      <c r="O268">
        <f t="shared" si="68"/>
        <v>0</v>
      </c>
      <c r="P268">
        <f t="shared" si="69"/>
        <v>0</v>
      </c>
      <c r="Q268">
        <f t="shared" si="70"/>
        <v>0</v>
      </c>
      <c r="R268">
        <f t="shared" si="71"/>
        <v>0</v>
      </c>
      <c r="S268">
        <f t="shared" si="72"/>
        <v>0</v>
      </c>
      <c r="T268">
        <f t="shared" si="73"/>
        <v>0</v>
      </c>
      <c r="U268">
        <f t="shared" si="74"/>
        <v>0</v>
      </c>
      <c r="V268">
        <f t="shared" si="75"/>
        <v>0</v>
      </c>
    </row>
    <row r="269" spans="1:22" x14ac:dyDescent="0.3">
      <c r="A269" t="s">
        <v>22</v>
      </c>
      <c r="B269">
        <v>2012</v>
      </c>
      <c r="C269">
        <v>2</v>
      </c>
      <c r="D269" t="str">
        <f t="shared" si="62"/>
        <v>2012-02</v>
      </c>
      <c r="E269" s="2">
        <f>IF(MOD(ROW()-2,2)=0, INDEX('[1]2310008001-eng'!$B$13:$B$288, (ROW()-2)/2+1), INDEX('[1]2310008001-eng'!$C$13:$C$288, (ROW()-2)/2+1))*1000</f>
        <v>1180823000</v>
      </c>
      <c r="F269" s="2">
        <f>IF(MOD(ROW()-2,2)=0, INDEX('[2]1710000901-eng'!$B$12:$B$73, INT((ROW()-2)/6)+1), INDEX('[2]1710000901-eng'!$C$12:$C$73, INT((ROW()-2)/6)+1))</f>
        <v>13325337</v>
      </c>
      <c r="G269">
        <f t="shared" si="63"/>
        <v>88.61486955264246</v>
      </c>
      <c r="H269">
        <v>0</v>
      </c>
      <c r="I269">
        <v>1</v>
      </c>
      <c r="J269">
        <f t="shared" si="61"/>
        <v>0</v>
      </c>
      <c r="K269">
        <f t="shared" si="64"/>
        <v>0</v>
      </c>
      <c r="L269">
        <f t="shared" si="65"/>
        <v>1</v>
      </c>
      <c r="M269">
        <f t="shared" si="66"/>
        <v>0</v>
      </c>
      <c r="N269">
        <f t="shared" si="67"/>
        <v>0</v>
      </c>
      <c r="O269">
        <f t="shared" si="68"/>
        <v>0</v>
      </c>
      <c r="P269">
        <f t="shared" si="69"/>
        <v>0</v>
      </c>
      <c r="Q269">
        <f t="shared" si="70"/>
        <v>0</v>
      </c>
      <c r="R269">
        <f t="shared" si="71"/>
        <v>0</v>
      </c>
      <c r="S269">
        <f t="shared" si="72"/>
        <v>0</v>
      </c>
      <c r="T269">
        <f t="shared" si="73"/>
        <v>0</v>
      </c>
      <c r="U269">
        <f t="shared" si="74"/>
        <v>0</v>
      </c>
      <c r="V269">
        <f t="shared" si="75"/>
        <v>0</v>
      </c>
    </row>
    <row r="270" spans="1:22" x14ac:dyDescent="0.3">
      <c r="A270" t="s">
        <v>7</v>
      </c>
      <c r="B270">
        <v>2012</v>
      </c>
      <c r="C270">
        <v>3</v>
      </c>
      <c r="D270" t="str">
        <f t="shared" si="62"/>
        <v>2012-03</v>
      </c>
      <c r="E270" s="2">
        <f>IF(MOD(ROW()-2,2)=0, INDEX('[1]2310008001-eng'!$B$13:$B$288, (ROW()-2)/2+1), INDEX('[1]2310008001-eng'!$C$13:$C$288, (ROW()-2)/2+1))*1000</f>
        <v>681635000</v>
      </c>
      <c r="F270" s="2">
        <f>IF(MOD(ROW()-2,2)=0, INDEX('[2]1710000901-eng'!$B$12:$B$73, INT((ROW()-2)/6)+1), INDEX('[2]1710000901-eng'!$C$12:$C$73, INT((ROW()-2)/6)+1))</f>
        <v>8028516</v>
      </c>
      <c r="G270">
        <f t="shared" si="63"/>
        <v>84.901742738010356</v>
      </c>
      <c r="H270">
        <v>1</v>
      </c>
      <c r="I270">
        <v>1</v>
      </c>
      <c r="J270">
        <f t="shared" si="61"/>
        <v>1</v>
      </c>
      <c r="K270">
        <f t="shared" si="64"/>
        <v>0</v>
      </c>
      <c r="L270">
        <f t="shared" si="65"/>
        <v>0</v>
      </c>
      <c r="M270">
        <f t="shared" si="66"/>
        <v>1</v>
      </c>
      <c r="N270">
        <f t="shared" si="67"/>
        <v>0</v>
      </c>
      <c r="O270">
        <f t="shared" si="68"/>
        <v>0</v>
      </c>
      <c r="P270">
        <f t="shared" si="69"/>
        <v>0</v>
      </c>
      <c r="Q270">
        <f t="shared" si="70"/>
        <v>0</v>
      </c>
      <c r="R270">
        <f t="shared" si="71"/>
        <v>0</v>
      </c>
      <c r="S270">
        <f t="shared" si="72"/>
        <v>0</v>
      </c>
      <c r="T270">
        <f t="shared" si="73"/>
        <v>0</v>
      </c>
      <c r="U270">
        <f t="shared" si="74"/>
        <v>0</v>
      </c>
      <c r="V270">
        <f t="shared" si="75"/>
        <v>0</v>
      </c>
    </row>
    <row r="271" spans="1:22" x14ac:dyDescent="0.3">
      <c r="A271" t="s">
        <v>22</v>
      </c>
      <c r="B271">
        <v>2012</v>
      </c>
      <c r="C271">
        <v>3</v>
      </c>
      <c r="D271" t="str">
        <f t="shared" si="62"/>
        <v>2012-03</v>
      </c>
      <c r="E271" s="2">
        <f>IF(MOD(ROW()-2,2)=0, INDEX('[1]2310008001-eng'!$B$13:$B$288, (ROW()-2)/2+1), INDEX('[1]2310008001-eng'!$C$13:$C$288, (ROW()-2)/2+1))*1000</f>
        <v>1265444000</v>
      </c>
      <c r="F271" s="2">
        <f>IF(MOD(ROW()-2,2)=0, INDEX('[2]1710000901-eng'!$B$12:$B$73, INT((ROW()-2)/6)+1), INDEX('[2]1710000901-eng'!$C$12:$C$73, INT((ROW()-2)/6)+1))</f>
        <v>13325337</v>
      </c>
      <c r="G271">
        <f t="shared" si="63"/>
        <v>94.965253036377234</v>
      </c>
      <c r="H271">
        <v>0</v>
      </c>
      <c r="I271">
        <v>1</v>
      </c>
      <c r="J271">
        <f t="shared" si="61"/>
        <v>0</v>
      </c>
      <c r="K271">
        <f t="shared" si="64"/>
        <v>0</v>
      </c>
      <c r="L271">
        <f t="shared" si="65"/>
        <v>0</v>
      </c>
      <c r="M271">
        <f t="shared" si="66"/>
        <v>1</v>
      </c>
      <c r="N271">
        <f t="shared" si="67"/>
        <v>0</v>
      </c>
      <c r="O271">
        <f t="shared" si="68"/>
        <v>0</v>
      </c>
      <c r="P271">
        <f t="shared" si="69"/>
        <v>0</v>
      </c>
      <c r="Q271">
        <f t="shared" si="70"/>
        <v>0</v>
      </c>
      <c r="R271">
        <f t="shared" si="71"/>
        <v>0</v>
      </c>
      <c r="S271">
        <f t="shared" si="72"/>
        <v>0</v>
      </c>
      <c r="T271">
        <f t="shared" si="73"/>
        <v>0</v>
      </c>
      <c r="U271">
        <f t="shared" si="74"/>
        <v>0</v>
      </c>
      <c r="V271">
        <f t="shared" si="75"/>
        <v>0</v>
      </c>
    </row>
    <row r="272" spans="1:22" x14ac:dyDescent="0.3">
      <c r="A272" t="s">
        <v>7</v>
      </c>
      <c r="B272">
        <v>2012</v>
      </c>
      <c r="C272">
        <v>4</v>
      </c>
      <c r="D272" t="str">
        <f t="shared" si="62"/>
        <v>2012-04</v>
      </c>
      <c r="E272" s="2">
        <f>IF(MOD(ROW()-2,2)=0, INDEX('[1]2310008001-eng'!$B$13:$B$288, (ROW()-2)/2+1), INDEX('[1]2310008001-eng'!$C$13:$C$288, (ROW()-2)/2+1))*1000</f>
        <v>662131000</v>
      </c>
      <c r="F272" s="2">
        <f>IF(MOD(ROW()-2,2)=0, INDEX('[2]1710000901-eng'!$B$12:$B$73, INT((ROW()-2)/6)+1), INDEX('[2]1710000901-eng'!$C$12:$C$73, INT((ROW()-2)/6)+1))</f>
        <v>8038332</v>
      </c>
      <c r="G272">
        <f t="shared" si="63"/>
        <v>82.371691042370486</v>
      </c>
      <c r="H272">
        <v>1</v>
      </c>
      <c r="I272">
        <v>1</v>
      </c>
      <c r="J272">
        <f t="shared" si="61"/>
        <v>1</v>
      </c>
      <c r="K272">
        <f t="shared" si="64"/>
        <v>0</v>
      </c>
      <c r="L272">
        <f t="shared" si="65"/>
        <v>0</v>
      </c>
      <c r="M272">
        <f t="shared" si="66"/>
        <v>0</v>
      </c>
      <c r="N272">
        <f t="shared" si="67"/>
        <v>1</v>
      </c>
      <c r="O272">
        <f t="shared" si="68"/>
        <v>0</v>
      </c>
      <c r="P272">
        <f t="shared" si="69"/>
        <v>0</v>
      </c>
      <c r="Q272">
        <f t="shared" si="70"/>
        <v>0</v>
      </c>
      <c r="R272">
        <f t="shared" si="71"/>
        <v>0</v>
      </c>
      <c r="S272">
        <f t="shared" si="72"/>
        <v>0</v>
      </c>
      <c r="T272">
        <f t="shared" si="73"/>
        <v>0</v>
      </c>
      <c r="U272">
        <f t="shared" si="74"/>
        <v>0</v>
      </c>
      <c r="V272">
        <f t="shared" si="75"/>
        <v>0</v>
      </c>
    </row>
    <row r="273" spans="1:22" x14ac:dyDescent="0.3">
      <c r="A273" t="s">
        <v>22</v>
      </c>
      <c r="B273">
        <v>2012</v>
      </c>
      <c r="C273">
        <v>4</v>
      </c>
      <c r="D273" t="str">
        <f t="shared" si="62"/>
        <v>2012-04</v>
      </c>
      <c r="E273" s="2">
        <f>IF(MOD(ROW()-2,2)=0, INDEX('[1]2310008001-eng'!$B$13:$B$288, (ROW()-2)/2+1), INDEX('[1]2310008001-eng'!$C$13:$C$288, (ROW()-2)/2+1))*1000</f>
        <v>1251146000</v>
      </c>
      <c r="F273" s="2">
        <f>IF(MOD(ROW()-2,2)=0, INDEX('[2]1710000901-eng'!$B$12:$B$73, INT((ROW()-2)/6)+1), INDEX('[2]1710000901-eng'!$C$12:$C$73, INT((ROW()-2)/6)+1))</f>
        <v>13350123</v>
      </c>
      <c r="G273">
        <f t="shared" si="63"/>
        <v>93.717938029484827</v>
      </c>
      <c r="H273">
        <v>0</v>
      </c>
      <c r="I273">
        <v>1</v>
      </c>
      <c r="J273">
        <f t="shared" si="61"/>
        <v>0</v>
      </c>
      <c r="K273">
        <f t="shared" si="64"/>
        <v>0</v>
      </c>
      <c r="L273">
        <f t="shared" si="65"/>
        <v>0</v>
      </c>
      <c r="M273">
        <f t="shared" si="66"/>
        <v>0</v>
      </c>
      <c r="N273">
        <f t="shared" si="67"/>
        <v>1</v>
      </c>
      <c r="O273">
        <f t="shared" si="68"/>
        <v>0</v>
      </c>
      <c r="P273">
        <f t="shared" si="69"/>
        <v>0</v>
      </c>
      <c r="Q273">
        <f t="shared" si="70"/>
        <v>0</v>
      </c>
      <c r="R273">
        <f t="shared" si="71"/>
        <v>0</v>
      </c>
      <c r="S273">
        <f t="shared" si="72"/>
        <v>0</v>
      </c>
      <c r="T273">
        <f t="shared" si="73"/>
        <v>0</v>
      </c>
      <c r="U273">
        <f t="shared" si="74"/>
        <v>0</v>
      </c>
      <c r="V273">
        <f t="shared" si="75"/>
        <v>0</v>
      </c>
    </row>
    <row r="274" spans="1:22" x14ac:dyDescent="0.3">
      <c r="A274" t="s">
        <v>7</v>
      </c>
      <c r="B274">
        <v>2012</v>
      </c>
      <c r="C274">
        <v>5</v>
      </c>
      <c r="D274" t="str">
        <f t="shared" si="62"/>
        <v>2012-05</v>
      </c>
      <c r="E274" s="2">
        <f>IF(MOD(ROW()-2,2)=0, INDEX('[1]2310008001-eng'!$B$13:$B$288, (ROW()-2)/2+1), INDEX('[1]2310008001-eng'!$C$13:$C$288, (ROW()-2)/2+1))*1000</f>
        <v>723420000</v>
      </c>
      <c r="F274" s="2">
        <f>IF(MOD(ROW()-2,2)=0, INDEX('[2]1710000901-eng'!$B$12:$B$73, INT((ROW()-2)/6)+1), INDEX('[2]1710000901-eng'!$C$12:$C$73, INT((ROW()-2)/6)+1))</f>
        <v>8038332</v>
      </c>
      <c r="G274">
        <f t="shared" si="63"/>
        <v>89.996282810911524</v>
      </c>
      <c r="H274">
        <v>1</v>
      </c>
      <c r="I274">
        <v>1</v>
      </c>
      <c r="J274">
        <f t="shared" si="61"/>
        <v>1</v>
      </c>
      <c r="K274">
        <f t="shared" si="64"/>
        <v>0</v>
      </c>
      <c r="L274">
        <f t="shared" si="65"/>
        <v>0</v>
      </c>
      <c r="M274">
        <f t="shared" si="66"/>
        <v>0</v>
      </c>
      <c r="N274">
        <f t="shared" si="67"/>
        <v>0</v>
      </c>
      <c r="O274">
        <f t="shared" si="68"/>
        <v>1</v>
      </c>
      <c r="P274">
        <f t="shared" si="69"/>
        <v>0</v>
      </c>
      <c r="Q274">
        <f t="shared" si="70"/>
        <v>0</v>
      </c>
      <c r="R274">
        <f t="shared" si="71"/>
        <v>0</v>
      </c>
      <c r="S274">
        <f t="shared" si="72"/>
        <v>0</v>
      </c>
      <c r="T274">
        <f t="shared" si="73"/>
        <v>0</v>
      </c>
      <c r="U274">
        <f t="shared" si="74"/>
        <v>0</v>
      </c>
      <c r="V274">
        <f t="shared" si="75"/>
        <v>0</v>
      </c>
    </row>
    <row r="275" spans="1:22" x14ac:dyDescent="0.3">
      <c r="A275" t="s">
        <v>22</v>
      </c>
      <c r="B275">
        <v>2012</v>
      </c>
      <c r="C275">
        <v>5</v>
      </c>
      <c r="D275" t="str">
        <f t="shared" si="62"/>
        <v>2012-05</v>
      </c>
      <c r="E275" s="2">
        <f>IF(MOD(ROW()-2,2)=0, INDEX('[1]2310008001-eng'!$B$13:$B$288, (ROW()-2)/2+1), INDEX('[1]2310008001-eng'!$C$13:$C$288, (ROW()-2)/2+1))*1000</f>
        <v>1359541000</v>
      </c>
      <c r="F275" s="2">
        <f>IF(MOD(ROW()-2,2)=0, INDEX('[2]1710000901-eng'!$B$12:$B$73, INT((ROW()-2)/6)+1), INDEX('[2]1710000901-eng'!$C$12:$C$73, INT((ROW()-2)/6)+1))</f>
        <v>13350123</v>
      </c>
      <c r="G275">
        <f t="shared" si="63"/>
        <v>101.83733887695267</v>
      </c>
      <c r="H275">
        <v>0</v>
      </c>
      <c r="I275">
        <v>1</v>
      </c>
      <c r="J275">
        <f t="shared" si="61"/>
        <v>0</v>
      </c>
      <c r="K275">
        <f t="shared" si="64"/>
        <v>0</v>
      </c>
      <c r="L275">
        <f t="shared" si="65"/>
        <v>0</v>
      </c>
      <c r="M275">
        <f t="shared" si="66"/>
        <v>0</v>
      </c>
      <c r="N275">
        <f t="shared" si="67"/>
        <v>0</v>
      </c>
      <c r="O275">
        <f t="shared" si="68"/>
        <v>1</v>
      </c>
      <c r="P275">
        <f t="shared" si="69"/>
        <v>0</v>
      </c>
      <c r="Q275">
        <f t="shared" si="70"/>
        <v>0</v>
      </c>
      <c r="R275">
        <f t="shared" si="71"/>
        <v>0</v>
      </c>
      <c r="S275">
        <f t="shared" si="72"/>
        <v>0</v>
      </c>
      <c r="T275">
        <f t="shared" si="73"/>
        <v>0</v>
      </c>
      <c r="U275">
        <f t="shared" si="74"/>
        <v>0</v>
      </c>
      <c r="V275">
        <f t="shared" si="75"/>
        <v>0</v>
      </c>
    </row>
    <row r="276" spans="1:22" x14ac:dyDescent="0.3">
      <c r="A276" t="s">
        <v>7</v>
      </c>
      <c r="B276">
        <v>2012</v>
      </c>
      <c r="C276">
        <v>6</v>
      </c>
      <c r="D276" t="str">
        <f t="shared" si="62"/>
        <v>2012-06</v>
      </c>
      <c r="E276" s="2">
        <f>IF(MOD(ROW()-2,2)=0, INDEX('[1]2310008001-eng'!$B$13:$B$288, (ROW()-2)/2+1), INDEX('[1]2310008001-eng'!$C$13:$C$288, (ROW()-2)/2+1))*1000</f>
        <v>732133000</v>
      </c>
      <c r="F276" s="2">
        <f>IF(MOD(ROW()-2,2)=0, INDEX('[2]1710000901-eng'!$B$12:$B$73, INT((ROW()-2)/6)+1), INDEX('[2]1710000901-eng'!$C$12:$C$73, INT((ROW()-2)/6)+1))</f>
        <v>8038332</v>
      </c>
      <c r="G276">
        <f t="shared" si="63"/>
        <v>91.08021415388167</v>
      </c>
      <c r="H276">
        <v>1</v>
      </c>
      <c r="I276">
        <v>1</v>
      </c>
      <c r="J276">
        <f t="shared" si="61"/>
        <v>1</v>
      </c>
      <c r="K276">
        <f t="shared" si="64"/>
        <v>0</v>
      </c>
      <c r="L276">
        <f t="shared" si="65"/>
        <v>0</v>
      </c>
      <c r="M276">
        <f t="shared" si="66"/>
        <v>0</v>
      </c>
      <c r="N276">
        <f t="shared" si="67"/>
        <v>0</v>
      </c>
      <c r="O276">
        <f t="shared" si="68"/>
        <v>0</v>
      </c>
      <c r="P276">
        <f t="shared" si="69"/>
        <v>1</v>
      </c>
      <c r="Q276">
        <f t="shared" si="70"/>
        <v>0</v>
      </c>
      <c r="R276">
        <f t="shared" si="71"/>
        <v>0</v>
      </c>
      <c r="S276">
        <f t="shared" si="72"/>
        <v>0</v>
      </c>
      <c r="T276">
        <f t="shared" si="73"/>
        <v>0</v>
      </c>
      <c r="U276">
        <f t="shared" si="74"/>
        <v>0</v>
      </c>
      <c r="V276">
        <f t="shared" si="75"/>
        <v>0</v>
      </c>
    </row>
    <row r="277" spans="1:22" x14ac:dyDescent="0.3">
      <c r="A277" t="s">
        <v>22</v>
      </c>
      <c r="B277">
        <v>2012</v>
      </c>
      <c r="C277">
        <v>6</v>
      </c>
      <c r="D277" t="str">
        <f t="shared" si="62"/>
        <v>2012-06</v>
      </c>
      <c r="E277" s="2">
        <f>IF(MOD(ROW()-2,2)=0, INDEX('[1]2310008001-eng'!$B$13:$B$288, (ROW()-2)/2+1), INDEX('[1]2310008001-eng'!$C$13:$C$288, (ROW()-2)/2+1))*1000</f>
        <v>1373605000</v>
      </c>
      <c r="F277" s="2">
        <f>IF(MOD(ROW()-2,2)=0, INDEX('[2]1710000901-eng'!$B$12:$B$73, INT((ROW()-2)/6)+1), INDEX('[2]1710000901-eng'!$C$12:$C$73, INT((ROW()-2)/6)+1))</f>
        <v>13350123</v>
      </c>
      <c r="G277">
        <f t="shared" si="63"/>
        <v>102.89081231686031</v>
      </c>
      <c r="H277">
        <v>0</v>
      </c>
      <c r="I277">
        <v>1</v>
      </c>
      <c r="J277">
        <f t="shared" si="61"/>
        <v>0</v>
      </c>
      <c r="K277">
        <f t="shared" si="64"/>
        <v>0</v>
      </c>
      <c r="L277">
        <f t="shared" si="65"/>
        <v>0</v>
      </c>
      <c r="M277">
        <f t="shared" si="66"/>
        <v>0</v>
      </c>
      <c r="N277">
        <f t="shared" si="67"/>
        <v>0</v>
      </c>
      <c r="O277">
        <f t="shared" si="68"/>
        <v>0</v>
      </c>
      <c r="P277">
        <f t="shared" si="69"/>
        <v>1</v>
      </c>
      <c r="Q277">
        <f t="shared" si="70"/>
        <v>0</v>
      </c>
      <c r="R277">
        <f t="shared" si="71"/>
        <v>0</v>
      </c>
      <c r="S277">
        <f t="shared" si="72"/>
        <v>0</v>
      </c>
      <c r="T277">
        <f t="shared" si="73"/>
        <v>0</v>
      </c>
      <c r="U277">
        <f t="shared" si="74"/>
        <v>0</v>
      </c>
      <c r="V277">
        <f t="shared" si="75"/>
        <v>0</v>
      </c>
    </row>
    <row r="278" spans="1:22" x14ac:dyDescent="0.3">
      <c r="A278" t="s">
        <v>7</v>
      </c>
      <c r="B278">
        <v>2012</v>
      </c>
      <c r="C278">
        <v>7</v>
      </c>
      <c r="D278" t="str">
        <f t="shared" si="62"/>
        <v>2012-07</v>
      </c>
      <c r="E278" s="2">
        <f>IF(MOD(ROW()-2,2)=0, INDEX('[1]2310008001-eng'!$B$13:$B$288, (ROW()-2)/2+1), INDEX('[1]2310008001-eng'!$C$13:$C$288, (ROW()-2)/2+1))*1000</f>
        <v>735081000</v>
      </c>
      <c r="F278" s="2">
        <f>IF(MOD(ROW()-2,2)=0, INDEX('[2]1710000901-eng'!$B$12:$B$73, INT((ROW()-2)/6)+1), INDEX('[2]1710000901-eng'!$C$12:$C$73, INT((ROW()-2)/6)+1))</f>
        <v>8059752</v>
      </c>
      <c r="G278">
        <f t="shared" si="63"/>
        <v>91.203922899860942</v>
      </c>
      <c r="H278">
        <v>1</v>
      </c>
      <c r="I278">
        <v>1</v>
      </c>
      <c r="J278">
        <f t="shared" si="61"/>
        <v>1</v>
      </c>
      <c r="K278">
        <f t="shared" si="64"/>
        <v>0</v>
      </c>
      <c r="L278">
        <f t="shared" si="65"/>
        <v>0</v>
      </c>
      <c r="M278">
        <f t="shared" si="66"/>
        <v>0</v>
      </c>
      <c r="N278">
        <f t="shared" si="67"/>
        <v>0</v>
      </c>
      <c r="O278">
        <f t="shared" si="68"/>
        <v>0</v>
      </c>
      <c r="P278">
        <f t="shared" si="69"/>
        <v>0</v>
      </c>
      <c r="Q278">
        <f t="shared" si="70"/>
        <v>1</v>
      </c>
      <c r="R278">
        <f t="shared" si="71"/>
        <v>0</v>
      </c>
      <c r="S278">
        <f t="shared" si="72"/>
        <v>0</v>
      </c>
      <c r="T278">
        <f t="shared" si="73"/>
        <v>0</v>
      </c>
      <c r="U278">
        <f t="shared" si="74"/>
        <v>0</v>
      </c>
      <c r="V278">
        <f t="shared" si="75"/>
        <v>0</v>
      </c>
    </row>
    <row r="279" spans="1:22" x14ac:dyDescent="0.3">
      <c r="A279" t="s">
        <v>22</v>
      </c>
      <c r="B279">
        <v>2012</v>
      </c>
      <c r="C279">
        <v>7</v>
      </c>
      <c r="D279" t="str">
        <f t="shared" si="62"/>
        <v>2012-07</v>
      </c>
      <c r="E279" s="2">
        <f>IF(MOD(ROW()-2,2)=0, INDEX('[1]2310008001-eng'!$B$13:$B$288, (ROW()-2)/2+1), INDEX('[1]2310008001-eng'!$C$13:$C$288, (ROW()-2)/2+1))*1000</f>
        <v>1352572000</v>
      </c>
      <c r="F279" s="2">
        <f>IF(MOD(ROW()-2,2)=0, INDEX('[2]1710000901-eng'!$B$12:$B$73, INT((ROW()-2)/6)+1), INDEX('[2]1710000901-eng'!$C$12:$C$73, INT((ROW()-2)/6)+1))</f>
        <v>13392364</v>
      </c>
      <c r="G279">
        <f t="shared" si="63"/>
        <v>100.99576146526483</v>
      </c>
      <c r="H279">
        <v>0</v>
      </c>
      <c r="I279">
        <v>1</v>
      </c>
      <c r="J279">
        <f t="shared" si="61"/>
        <v>0</v>
      </c>
      <c r="K279">
        <f t="shared" si="64"/>
        <v>0</v>
      </c>
      <c r="L279">
        <f t="shared" si="65"/>
        <v>0</v>
      </c>
      <c r="M279">
        <f t="shared" si="66"/>
        <v>0</v>
      </c>
      <c r="N279">
        <f t="shared" si="67"/>
        <v>0</v>
      </c>
      <c r="O279">
        <f t="shared" si="68"/>
        <v>0</v>
      </c>
      <c r="P279">
        <f t="shared" si="69"/>
        <v>0</v>
      </c>
      <c r="Q279">
        <f t="shared" si="70"/>
        <v>1</v>
      </c>
      <c r="R279">
        <f t="shared" si="71"/>
        <v>0</v>
      </c>
      <c r="S279">
        <f t="shared" si="72"/>
        <v>0</v>
      </c>
      <c r="T279">
        <f t="shared" si="73"/>
        <v>0</v>
      </c>
      <c r="U279">
        <f t="shared" si="74"/>
        <v>0</v>
      </c>
      <c r="V279">
        <f t="shared" si="75"/>
        <v>0</v>
      </c>
    </row>
    <row r="280" spans="1:22" x14ac:dyDescent="0.3">
      <c r="A280" t="s">
        <v>7</v>
      </c>
      <c r="B280">
        <v>2012</v>
      </c>
      <c r="C280">
        <v>8</v>
      </c>
      <c r="D280" t="str">
        <f t="shared" si="62"/>
        <v>2012-08</v>
      </c>
      <c r="E280" s="2">
        <f>IF(MOD(ROW()-2,2)=0, INDEX('[1]2310008001-eng'!$B$13:$B$288, (ROW()-2)/2+1), INDEX('[1]2310008001-eng'!$C$13:$C$288, (ROW()-2)/2+1))*1000</f>
        <v>754022000</v>
      </c>
      <c r="F280" s="2">
        <f>IF(MOD(ROW()-2,2)=0, INDEX('[2]1710000901-eng'!$B$12:$B$73, INT((ROW()-2)/6)+1), INDEX('[2]1710000901-eng'!$C$12:$C$73, INT((ROW()-2)/6)+1))</f>
        <v>8059752</v>
      </c>
      <c r="G280">
        <f t="shared" si="63"/>
        <v>93.553995209778165</v>
      </c>
      <c r="H280">
        <v>1</v>
      </c>
      <c r="I280">
        <v>1</v>
      </c>
      <c r="J280">
        <f t="shared" si="61"/>
        <v>1</v>
      </c>
      <c r="K280">
        <f t="shared" si="64"/>
        <v>0</v>
      </c>
      <c r="L280">
        <f t="shared" si="65"/>
        <v>0</v>
      </c>
      <c r="M280">
        <f t="shared" si="66"/>
        <v>0</v>
      </c>
      <c r="N280">
        <f t="shared" si="67"/>
        <v>0</v>
      </c>
      <c r="O280">
        <f t="shared" si="68"/>
        <v>0</v>
      </c>
      <c r="P280">
        <f t="shared" si="69"/>
        <v>0</v>
      </c>
      <c r="Q280">
        <f t="shared" si="70"/>
        <v>0</v>
      </c>
      <c r="R280">
        <f t="shared" si="71"/>
        <v>1</v>
      </c>
      <c r="S280">
        <f t="shared" si="72"/>
        <v>0</v>
      </c>
      <c r="T280">
        <f t="shared" si="73"/>
        <v>0</v>
      </c>
      <c r="U280">
        <f t="shared" si="74"/>
        <v>0</v>
      </c>
      <c r="V280">
        <f t="shared" si="75"/>
        <v>0</v>
      </c>
    </row>
    <row r="281" spans="1:22" x14ac:dyDescent="0.3">
      <c r="A281" t="s">
        <v>22</v>
      </c>
      <c r="B281">
        <v>2012</v>
      </c>
      <c r="C281">
        <v>8</v>
      </c>
      <c r="D281" t="str">
        <f t="shared" si="62"/>
        <v>2012-08</v>
      </c>
      <c r="E281" s="2">
        <f>IF(MOD(ROW()-2,2)=0, INDEX('[1]2310008001-eng'!$B$13:$B$288, (ROW()-2)/2+1), INDEX('[1]2310008001-eng'!$C$13:$C$288, (ROW()-2)/2+1))*1000</f>
        <v>1377160000</v>
      </c>
      <c r="F281" s="2">
        <f>IF(MOD(ROW()-2,2)=0, INDEX('[2]1710000901-eng'!$B$12:$B$73, INT((ROW()-2)/6)+1), INDEX('[2]1710000901-eng'!$C$12:$C$73, INT((ROW()-2)/6)+1))</f>
        <v>13392364</v>
      </c>
      <c r="G281">
        <f t="shared" si="63"/>
        <v>102.83173306818722</v>
      </c>
      <c r="H281">
        <v>0</v>
      </c>
      <c r="I281">
        <v>1</v>
      </c>
      <c r="J281">
        <f t="shared" si="61"/>
        <v>0</v>
      </c>
      <c r="K281">
        <f t="shared" si="64"/>
        <v>0</v>
      </c>
      <c r="L281">
        <f t="shared" si="65"/>
        <v>0</v>
      </c>
      <c r="M281">
        <f t="shared" si="66"/>
        <v>0</v>
      </c>
      <c r="N281">
        <f t="shared" si="67"/>
        <v>0</v>
      </c>
      <c r="O281">
        <f t="shared" si="68"/>
        <v>0</v>
      </c>
      <c r="P281">
        <f t="shared" si="69"/>
        <v>0</v>
      </c>
      <c r="Q281">
        <f t="shared" si="70"/>
        <v>0</v>
      </c>
      <c r="R281">
        <f t="shared" si="71"/>
        <v>1</v>
      </c>
      <c r="S281">
        <f t="shared" si="72"/>
        <v>0</v>
      </c>
      <c r="T281">
        <f t="shared" si="73"/>
        <v>0</v>
      </c>
      <c r="U281">
        <f t="shared" si="74"/>
        <v>0</v>
      </c>
      <c r="V281">
        <f t="shared" si="75"/>
        <v>0</v>
      </c>
    </row>
    <row r="282" spans="1:22" x14ac:dyDescent="0.3">
      <c r="A282" t="s">
        <v>7</v>
      </c>
      <c r="B282">
        <v>2012</v>
      </c>
      <c r="C282">
        <v>9</v>
      </c>
      <c r="D282" t="str">
        <f t="shared" si="62"/>
        <v>2012-09</v>
      </c>
      <c r="E282" s="2">
        <f>IF(MOD(ROW()-2,2)=0, INDEX('[1]2310008001-eng'!$B$13:$B$288, (ROW()-2)/2+1), INDEX('[1]2310008001-eng'!$C$13:$C$288, (ROW()-2)/2+1))*1000</f>
        <v>641012000</v>
      </c>
      <c r="F282" s="2">
        <f>IF(MOD(ROW()-2,2)=0, INDEX('[2]1710000901-eng'!$B$12:$B$73, INT((ROW()-2)/6)+1), INDEX('[2]1710000901-eng'!$C$12:$C$73, INT((ROW()-2)/6)+1))</f>
        <v>8059752</v>
      </c>
      <c r="G282">
        <f t="shared" si="63"/>
        <v>79.532471966879385</v>
      </c>
      <c r="H282">
        <v>1</v>
      </c>
      <c r="I282">
        <v>1</v>
      </c>
      <c r="J282">
        <f t="shared" si="61"/>
        <v>1</v>
      </c>
      <c r="K282">
        <f t="shared" si="64"/>
        <v>0</v>
      </c>
      <c r="L282">
        <f t="shared" si="65"/>
        <v>0</v>
      </c>
      <c r="M282">
        <f t="shared" si="66"/>
        <v>0</v>
      </c>
      <c r="N282">
        <f t="shared" si="67"/>
        <v>0</v>
      </c>
      <c r="O282">
        <f t="shared" si="68"/>
        <v>0</v>
      </c>
      <c r="P282">
        <f t="shared" si="69"/>
        <v>0</v>
      </c>
      <c r="Q282">
        <f t="shared" si="70"/>
        <v>0</v>
      </c>
      <c r="R282">
        <f t="shared" si="71"/>
        <v>0</v>
      </c>
      <c r="S282">
        <f t="shared" si="72"/>
        <v>1</v>
      </c>
      <c r="T282">
        <f t="shared" si="73"/>
        <v>0</v>
      </c>
      <c r="U282">
        <f t="shared" si="74"/>
        <v>0</v>
      </c>
      <c r="V282">
        <f t="shared" si="75"/>
        <v>0</v>
      </c>
    </row>
    <row r="283" spans="1:22" x14ac:dyDescent="0.3">
      <c r="A283" t="s">
        <v>22</v>
      </c>
      <c r="B283">
        <v>2012</v>
      </c>
      <c r="C283">
        <v>9</v>
      </c>
      <c r="D283" t="str">
        <f t="shared" si="62"/>
        <v>2012-09</v>
      </c>
      <c r="E283" s="2">
        <f>IF(MOD(ROW()-2,2)=0, INDEX('[1]2310008001-eng'!$B$13:$B$288, (ROW()-2)/2+1), INDEX('[1]2310008001-eng'!$C$13:$C$288, (ROW()-2)/2+1))*1000</f>
        <v>1287431000</v>
      </c>
      <c r="F283" s="2">
        <f>IF(MOD(ROW()-2,2)=0, INDEX('[2]1710000901-eng'!$B$12:$B$73, INT((ROW()-2)/6)+1), INDEX('[2]1710000901-eng'!$C$12:$C$73, INT((ROW()-2)/6)+1))</f>
        <v>13392364</v>
      </c>
      <c r="G283">
        <f t="shared" si="63"/>
        <v>96.13172103147734</v>
      </c>
      <c r="H283">
        <v>0</v>
      </c>
      <c r="I283">
        <v>1</v>
      </c>
      <c r="J283">
        <f t="shared" si="61"/>
        <v>0</v>
      </c>
      <c r="K283">
        <f t="shared" si="64"/>
        <v>0</v>
      </c>
      <c r="L283">
        <f t="shared" si="65"/>
        <v>0</v>
      </c>
      <c r="M283">
        <f t="shared" si="66"/>
        <v>0</v>
      </c>
      <c r="N283">
        <f t="shared" si="67"/>
        <v>0</v>
      </c>
      <c r="O283">
        <f t="shared" si="68"/>
        <v>0</v>
      </c>
      <c r="P283">
        <f t="shared" si="69"/>
        <v>0</v>
      </c>
      <c r="Q283">
        <f t="shared" si="70"/>
        <v>0</v>
      </c>
      <c r="R283">
        <f t="shared" si="71"/>
        <v>0</v>
      </c>
      <c r="S283">
        <f t="shared" si="72"/>
        <v>1</v>
      </c>
      <c r="T283">
        <f t="shared" si="73"/>
        <v>0</v>
      </c>
      <c r="U283">
        <f t="shared" si="74"/>
        <v>0</v>
      </c>
      <c r="V283">
        <f t="shared" si="75"/>
        <v>0</v>
      </c>
    </row>
    <row r="284" spans="1:22" x14ac:dyDescent="0.3">
      <c r="A284" t="s">
        <v>7</v>
      </c>
      <c r="B284">
        <v>2012</v>
      </c>
      <c r="C284">
        <v>10</v>
      </c>
      <c r="D284" t="str">
        <f t="shared" si="62"/>
        <v>2012-10</v>
      </c>
      <c r="E284" s="2">
        <f>IF(MOD(ROW()-2,2)=0, INDEX('[1]2310008001-eng'!$B$13:$B$288, (ROW()-2)/2+1), INDEX('[1]2310008001-eng'!$C$13:$C$288, (ROW()-2)/2+1))*1000</f>
        <v>700628000</v>
      </c>
      <c r="F284" s="2">
        <f>IF(MOD(ROW()-2,2)=0, INDEX('[2]1710000901-eng'!$B$12:$B$73, INT((ROW()-2)/6)+1), INDEX('[2]1710000901-eng'!$C$12:$C$73, INT((ROW()-2)/6)+1))</f>
        <v>8076838</v>
      </c>
      <c r="G284">
        <f t="shared" si="63"/>
        <v>86.745332765124175</v>
      </c>
      <c r="H284">
        <v>1</v>
      </c>
      <c r="I284">
        <v>1</v>
      </c>
      <c r="J284">
        <f t="shared" si="61"/>
        <v>1</v>
      </c>
      <c r="K284">
        <f t="shared" si="64"/>
        <v>0</v>
      </c>
      <c r="L284">
        <f t="shared" si="65"/>
        <v>0</v>
      </c>
      <c r="M284">
        <f t="shared" si="66"/>
        <v>0</v>
      </c>
      <c r="N284">
        <f t="shared" si="67"/>
        <v>0</v>
      </c>
      <c r="O284">
        <f t="shared" si="68"/>
        <v>0</v>
      </c>
      <c r="P284">
        <f t="shared" si="69"/>
        <v>0</v>
      </c>
      <c r="Q284">
        <f t="shared" si="70"/>
        <v>0</v>
      </c>
      <c r="R284">
        <f t="shared" si="71"/>
        <v>0</v>
      </c>
      <c r="S284">
        <f t="shared" si="72"/>
        <v>0</v>
      </c>
      <c r="T284">
        <f t="shared" si="73"/>
        <v>1</v>
      </c>
      <c r="U284">
        <f t="shared" si="74"/>
        <v>0</v>
      </c>
      <c r="V284">
        <f t="shared" si="75"/>
        <v>0</v>
      </c>
    </row>
    <row r="285" spans="1:22" x14ac:dyDescent="0.3">
      <c r="A285" t="s">
        <v>22</v>
      </c>
      <c r="B285">
        <v>2012</v>
      </c>
      <c r="C285">
        <v>10</v>
      </c>
      <c r="D285" t="str">
        <f t="shared" si="62"/>
        <v>2012-10</v>
      </c>
      <c r="E285" s="2">
        <f>IF(MOD(ROW()-2,2)=0, INDEX('[1]2310008001-eng'!$B$13:$B$288, (ROW()-2)/2+1), INDEX('[1]2310008001-eng'!$C$13:$C$288, (ROW()-2)/2+1))*1000</f>
        <v>1358958000</v>
      </c>
      <c r="F285" s="2">
        <f>IF(MOD(ROW()-2,2)=0, INDEX('[2]1710000901-eng'!$B$12:$B$73, INT((ROW()-2)/6)+1), INDEX('[2]1710000901-eng'!$C$12:$C$73, INT((ROW()-2)/6)+1))</f>
        <v>13436625</v>
      </c>
      <c r="G285">
        <f t="shared" si="63"/>
        <v>101.13834389216042</v>
      </c>
      <c r="H285">
        <v>0</v>
      </c>
      <c r="I285">
        <v>1</v>
      </c>
      <c r="J285">
        <f t="shared" si="61"/>
        <v>0</v>
      </c>
      <c r="K285">
        <f t="shared" si="64"/>
        <v>0</v>
      </c>
      <c r="L285">
        <f t="shared" si="65"/>
        <v>0</v>
      </c>
      <c r="M285">
        <f t="shared" si="66"/>
        <v>0</v>
      </c>
      <c r="N285">
        <f t="shared" si="67"/>
        <v>0</v>
      </c>
      <c r="O285">
        <f t="shared" si="68"/>
        <v>0</v>
      </c>
      <c r="P285">
        <f t="shared" si="69"/>
        <v>0</v>
      </c>
      <c r="Q285">
        <f t="shared" si="70"/>
        <v>0</v>
      </c>
      <c r="R285">
        <f t="shared" si="71"/>
        <v>0</v>
      </c>
      <c r="S285">
        <f t="shared" si="72"/>
        <v>0</v>
      </c>
      <c r="T285">
        <f t="shared" si="73"/>
        <v>1</v>
      </c>
      <c r="U285">
        <f t="shared" si="74"/>
        <v>0</v>
      </c>
      <c r="V285">
        <f t="shared" si="75"/>
        <v>0</v>
      </c>
    </row>
    <row r="286" spans="1:22" x14ac:dyDescent="0.3">
      <c r="A286" t="s">
        <v>7</v>
      </c>
      <c r="B286">
        <v>2012</v>
      </c>
      <c r="C286">
        <v>11</v>
      </c>
      <c r="D286" t="str">
        <f t="shared" si="62"/>
        <v>2012-11</v>
      </c>
      <c r="E286" s="2">
        <f>IF(MOD(ROW()-2,2)=0, INDEX('[1]2310008001-eng'!$B$13:$B$288, (ROW()-2)/2+1), INDEX('[1]2310008001-eng'!$C$13:$C$288, (ROW()-2)/2+1))*1000</f>
        <v>695386000</v>
      </c>
      <c r="F286" s="2">
        <f>IF(MOD(ROW()-2,2)=0, INDEX('[2]1710000901-eng'!$B$12:$B$73, INT((ROW()-2)/6)+1), INDEX('[2]1710000901-eng'!$C$12:$C$73, INT((ROW()-2)/6)+1))</f>
        <v>8076838</v>
      </c>
      <c r="G286">
        <f t="shared" si="63"/>
        <v>86.096316405008992</v>
      </c>
      <c r="H286">
        <v>1</v>
      </c>
      <c r="I286">
        <v>1</v>
      </c>
      <c r="J286">
        <f t="shared" si="61"/>
        <v>1</v>
      </c>
      <c r="K286">
        <f t="shared" si="64"/>
        <v>0</v>
      </c>
      <c r="L286">
        <f t="shared" si="65"/>
        <v>0</v>
      </c>
      <c r="M286">
        <f t="shared" si="66"/>
        <v>0</v>
      </c>
      <c r="N286">
        <f t="shared" si="67"/>
        <v>0</v>
      </c>
      <c r="O286">
        <f t="shared" si="68"/>
        <v>0</v>
      </c>
      <c r="P286">
        <f t="shared" si="69"/>
        <v>0</v>
      </c>
      <c r="Q286">
        <f t="shared" si="70"/>
        <v>0</v>
      </c>
      <c r="R286">
        <f t="shared" si="71"/>
        <v>0</v>
      </c>
      <c r="S286">
        <f t="shared" si="72"/>
        <v>0</v>
      </c>
      <c r="T286">
        <f t="shared" si="73"/>
        <v>0</v>
      </c>
      <c r="U286">
        <f t="shared" si="74"/>
        <v>1</v>
      </c>
      <c r="V286">
        <f t="shared" si="75"/>
        <v>0</v>
      </c>
    </row>
    <row r="287" spans="1:22" x14ac:dyDescent="0.3">
      <c r="A287" t="s">
        <v>22</v>
      </c>
      <c r="B287">
        <v>2012</v>
      </c>
      <c r="C287">
        <v>11</v>
      </c>
      <c r="D287" t="str">
        <f t="shared" si="62"/>
        <v>2012-11</v>
      </c>
      <c r="E287" s="2">
        <f>IF(MOD(ROW()-2,2)=0, INDEX('[1]2310008001-eng'!$B$13:$B$288, (ROW()-2)/2+1), INDEX('[1]2310008001-eng'!$C$13:$C$288, (ROW()-2)/2+1))*1000</f>
        <v>1258469000</v>
      </c>
      <c r="F287" s="2">
        <f>IF(MOD(ROW()-2,2)=0, INDEX('[2]1710000901-eng'!$B$12:$B$73, INT((ROW()-2)/6)+1), INDEX('[2]1710000901-eng'!$C$12:$C$73, INT((ROW()-2)/6)+1))</f>
        <v>13436625</v>
      </c>
      <c r="G287">
        <f t="shared" si="63"/>
        <v>93.659605741769226</v>
      </c>
      <c r="H287">
        <v>0</v>
      </c>
      <c r="I287">
        <v>1</v>
      </c>
      <c r="J287">
        <f t="shared" si="61"/>
        <v>0</v>
      </c>
      <c r="K287">
        <f t="shared" si="64"/>
        <v>0</v>
      </c>
      <c r="L287">
        <f t="shared" si="65"/>
        <v>0</v>
      </c>
      <c r="M287">
        <f t="shared" si="66"/>
        <v>0</v>
      </c>
      <c r="N287">
        <f t="shared" si="67"/>
        <v>0</v>
      </c>
      <c r="O287">
        <f t="shared" si="68"/>
        <v>0</v>
      </c>
      <c r="P287">
        <f t="shared" si="69"/>
        <v>0</v>
      </c>
      <c r="Q287">
        <f t="shared" si="70"/>
        <v>0</v>
      </c>
      <c r="R287">
        <f t="shared" si="71"/>
        <v>0</v>
      </c>
      <c r="S287">
        <f t="shared" si="72"/>
        <v>0</v>
      </c>
      <c r="T287">
        <f t="shared" si="73"/>
        <v>0</v>
      </c>
      <c r="U287">
        <f t="shared" si="74"/>
        <v>1</v>
      </c>
      <c r="V287">
        <f t="shared" si="75"/>
        <v>0</v>
      </c>
    </row>
    <row r="288" spans="1:22" x14ac:dyDescent="0.3">
      <c r="A288" t="s">
        <v>7</v>
      </c>
      <c r="B288">
        <v>2012</v>
      </c>
      <c r="C288">
        <v>12</v>
      </c>
      <c r="D288" t="str">
        <f t="shared" si="62"/>
        <v>2012-12</v>
      </c>
      <c r="E288" s="2">
        <f>IF(MOD(ROW()-2,2)=0, INDEX('[1]2310008001-eng'!$B$13:$B$288, (ROW()-2)/2+1), INDEX('[1]2310008001-eng'!$C$13:$C$288, (ROW()-2)/2+1))*1000</f>
        <v>670247000</v>
      </c>
      <c r="F288" s="2">
        <f>IF(MOD(ROW()-2,2)=0, INDEX('[2]1710000901-eng'!$B$12:$B$73, INT((ROW()-2)/6)+1), INDEX('[2]1710000901-eng'!$C$12:$C$73, INT((ROW()-2)/6)+1))</f>
        <v>8076838</v>
      </c>
      <c r="G288">
        <f t="shared" si="63"/>
        <v>82.983836001167788</v>
      </c>
      <c r="H288">
        <v>1</v>
      </c>
      <c r="I288">
        <v>1</v>
      </c>
      <c r="J288">
        <f t="shared" si="61"/>
        <v>1</v>
      </c>
      <c r="K288">
        <f t="shared" si="64"/>
        <v>0</v>
      </c>
      <c r="L288">
        <f t="shared" si="65"/>
        <v>0</v>
      </c>
      <c r="M288">
        <f t="shared" si="66"/>
        <v>0</v>
      </c>
      <c r="N288">
        <f t="shared" si="67"/>
        <v>0</v>
      </c>
      <c r="O288">
        <f t="shared" si="68"/>
        <v>0</v>
      </c>
      <c r="P288">
        <f t="shared" si="69"/>
        <v>0</v>
      </c>
      <c r="Q288">
        <f t="shared" si="70"/>
        <v>0</v>
      </c>
      <c r="R288">
        <f t="shared" si="71"/>
        <v>0</v>
      </c>
      <c r="S288">
        <f t="shared" si="72"/>
        <v>0</v>
      </c>
      <c r="T288">
        <f t="shared" si="73"/>
        <v>0</v>
      </c>
      <c r="U288">
        <f t="shared" si="74"/>
        <v>0</v>
      </c>
      <c r="V288">
        <f t="shared" si="75"/>
        <v>1</v>
      </c>
    </row>
    <row r="289" spans="1:22" x14ac:dyDescent="0.3">
      <c r="A289" t="s">
        <v>22</v>
      </c>
      <c r="B289">
        <v>2012</v>
      </c>
      <c r="C289">
        <v>12</v>
      </c>
      <c r="D289" t="str">
        <f t="shared" si="62"/>
        <v>2012-12</v>
      </c>
      <c r="E289" s="2">
        <f>IF(MOD(ROW()-2,2)=0, INDEX('[1]2310008001-eng'!$B$13:$B$288, (ROW()-2)/2+1), INDEX('[1]2310008001-eng'!$C$13:$C$288, (ROW()-2)/2+1))*1000</f>
        <v>1290080000</v>
      </c>
      <c r="F289" s="2">
        <f>IF(MOD(ROW()-2,2)=0, INDEX('[2]1710000901-eng'!$B$12:$B$73, INT((ROW()-2)/6)+1), INDEX('[2]1710000901-eng'!$C$12:$C$73, INT((ROW()-2)/6)+1))</f>
        <v>13436625</v>
      </c>
      <c r="G289">
        <f t="shared" si="63"/>
        <v>96.012205445936019</v>
      </c>
      <c r="H289">
        <v>0</v>
      </c>
      <c r="I289">
        <v>1</v>
      </c>
      <c r="J289">
        <f t="shared" si="61"/>
        <v>0</v>
      </c>
      <c r="K289">
        <f t="shared" si="64"/>
        <v>0</v>
      </c>
      <c r="L289">
        <f t="shared" si="65"/>
        <v>0</v>
      </c>
      <c r="M289">
        <f t="shared" si="66"/>
        <v>0</v>
      </c>
      <c r="N289">
        <f t="shared" si="67"/>
        <v>0</v>
      </c>
      <c r="O289">
        <f t="shared" si="68"/>
        <v>0</v>
      </c>
      <c r="P289">
        <f t="shared" si="69"/>
        <v>0</v>
      </c>
      <c r="Q289">
        <f t="shared" si="70"/>
        <v>0</v>
      </c>
      <c r="R289">
        <f t="shared" si="71"/>
        <v>0</v>
      </c>
      <c r="S289">
        <f t="shared" si="72"/>
        <v>0</v>
      </c>
      <c r="T289">
        <f t="shared" si="73"/>
        <v>0</v>
      </c>
      <c r="U289">
        <f t="shared" si="74"/>
        <v>0</v>
      </c>
      <c r="V289">
        <f t="shared" si="7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dc:creator>
  <cp:lastModifiedBy>Maher</cp:lastModifiedBy>
  <dcterms:created xsi:type="dcterms:W3CDTF">2025-04-05T21:36:45Z</dcterms:created>
  <dcterms:modified xsi:type="dcterms:W3CDTF">2026-01-30T21:23:57Z</dcterms:modified>
</cp:coreProperties>
</file>